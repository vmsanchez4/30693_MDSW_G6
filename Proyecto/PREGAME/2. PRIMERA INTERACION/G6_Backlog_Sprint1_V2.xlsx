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Espe\metod de software\Backlog\Sprint 1\"/>
    </mc:Choice>
  </mc:AlternateContent>
  <xr:revisionPtr revIDLastSave="0" documentId="8_{E4ED781B-2EBC-4404-A6C0-EB470D04A0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1" r:id="rId1"/>
    <sheet name="sprint0" sheetId="6" r:id="rId2"/>
    <sheet name="burdon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K6" i="3"/>
  <c r="K7" i="3"/>
  <c r="K8" i="3"/>
  <c r="K9" i="3"/>
  <c r="K4" i="3"/>
  <c r="C14" i="3"/>
  <c r="D14" i="3" s="1"/>
  <c r="E14" i="3" s="1"/>
  <c r="F14" i="3" s="1"/>
  <c r="G14" i="3" s="1"/>
  <c r="H14" i="3" s="1"/>
  <c r="I14" i="3" s="1"/>
  <c r="J14" i="3" s="1"/>
  <c r="C13" i="3"/>
  <c r="D13" i="3" s="1"/>
  <c r="E13" i="3" s="1"/>
  <c r="F13" i="3" s="1"/>
  <c r="G13" i="3" s="1"/>
  <c r="H13" i="3" s="1"/>
  <c r="I13" i="3" s="1"/>
  <c r="J13" i="3" s="1"/>
</calcChain>
</file>

<file path=xl/sharedStrings.xml><?xml version="1.0" encoding="utf-8"?>
<sst xmlns="http://schemas.openxmlformats.org/spreadsheetml/2006/main" count="259" uniqueCount="113">
  <si>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</si>
  <si>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</si>
  <si>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</si>
  <si>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</si>
  <si>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</si>
  <si>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</si>
  <si>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</si>
  <si>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</si>
  <si>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</si>
  <si>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 con validaciones de usuario</t>
  </si>
  <si>
    <t>Administrador</t>
  </si>
  <si>
    <t>El programa  debe tener un inicio de sesión con usuario y contraseña</t>
  </si>
  <si>
    <t>Acceder al sistema de forma segura</t>
  </si>
  <si>
    <t>Alta</t>
  </si>
  <si>
    <t>Terminado</t>
  </si>
  <si>
    <t>REQ002</t>
  </si>
  <si>
    <t>Agregar productos al programa</t>
  </si>
  <si>
    <t>una forma de agregar los productos al catalogo</t>
  </si>
  <si>
    <t>Mantener todos los productos dentro del catalogo.</t>
  </si>
  <si>
    <t>REQ003</t>
  </si>
  <si>
    <t>Editar productos del programa</t>
  </si>
  <si>
    <t>cambiar el estado o informacion de un producto</t>
  </si>
  <si>
    <t>Actualizar o cambiar la informacion de un producto</t>
  </si>
  <si>
    <t>REQ004</t>
  </si>
  <si>
    <t>Eliminar producto del programa</t>
  </si>
  <si>
    <t>Eliminar los productos del catalogo</t>
  </si>
  <si>
    <t xml:space="preserve"> Quitar productos que ya no se encuentran en el catalogo o que por error se ingresaron</t>
  </si>
  <si>
    <t>REQ005</t>
  </si>
  <si>
    <t>Busqueda de Productos por el nombre</t>
  </si>
  <si>
    <t>Cliente</t>
  </si>
  <si>
    <t>Filtrar  un producto mediante su nombre</t>
  </si>
  <si>
    <t>Buscar rapidamente un producto o accesorio sin la necesidad de recorrer todo el catalogo</t>
  </si>
  <si>
    <t>REQ006</t>
  </si>
  <si>
    <t>Informacion extendida de los productos</t>
  </si>
  <si>
    <t>Un botón de "ver mas" que abra una ficha completa con la descripcion  del producto</t>
  </si>
  <si>
    <t>Conocer detalles tecnicos como compatibilidad de años, marca o material antes de venderlo.</t>
  </si>
  <si>
    <t>Necesito</t>
  </si>
  <si>
    <t>así podre...</t>
  </si>
  <si>
    <t>Prioridad</t>
  </si>
  <si>
    <t>Status</t>
  </si>
  <si>
    <t>Iniciar sesión con usuario y contraseña</t>
  </si>
  <si>
    <t>#intentos</t>
  </si>
  <si>
    <t>No iniciado</t>
  </si>
  <si>
    <t>Tareas</t>
  </si>
  <si>
    <t>Asignado</t>
  </si>
  <si>
    <t>Estimado</t>
  </si>
  <si>
    <t>REQ001-1</t>
  </si>
  <si>
    <t>El sistema debe mostrar un formulario de inicio de sesión.</t>
  </si>
  <si>
    <t>Joel Tapia</t>
  </si>
  <si>
    <t>REQ001-2</t>
  </si>
  <si>
    <t>El administrador debe ingresar un nombre de usuario.</t>
  </si>
  <si>
    <t>REQ001-3</t>
  </si>
  <si>
    <t>El administrador debe ingresar una contraseña y si esta incorrecto se bloqueara después de 3 intentos.</t>
  </si>
  <si>
    <t>REQ001-4</t>
  </si>
  <si>
    <t>El sistema debe validar que los campos no estén vacíos.</t>
  </si>
  <si>
    <t>REQ001-5</t>
  </si>
  <si>
    <t>El sistema debe verificar que el usuario exista dentro de un registro.</t>
  </si>
  <si>
    <t>REQ001-6</t>
  </si>
  <si>
    <t>Acceder a la gestión de los productos cuando la validación sea correcta.</t>
  </si>
  <si>
    <t>REQ002-1</t>
  </si>
  <si>
    <t>Agregar botón  "Agregar" dentro de la  gestion del administrador</t>
  </si>
  <si>
    <t>Juan Socasi</t>
  </si>
  <si>
    <t>REQ002-2</t>
  </si>
  <si>
    <t>Crear un formulario editable que solicite datos nesesarios para el administrador</t>
  </si>
  <si>
    <t>REQ002-3</t>
  </si>
  <si>
    <t>Agregar una nueva fila en la tabla con toda la informacion solicitada</t>
  </si>
  <si>
    <t>REQ002-4</t>
  </si>
  <si>
    <t>Verificar que el catalogo general tenga el producto agregado</t>
  </si>
  <si>
    <t>REQ003-1</t>
  </si>
  <si>
    <t>Agregar botón  Editar dentro de la  gestion del administrador</t>
  </si>
  <si>
    <t>Vicente Sanchez</t>
  </si>
  <si>
    <t>REQ003-2</t>
  </si>
  <si>
    <t>Crear una advertencia en caso de no seleccionar un producto para editar</t>
  </si>
  <si>
    <t>REQ003-3</t>
  </si>
  <si>
    <t>Abrir un formulario editable con la informacion del producto seleccionado</t>
  </si>
  <si>
    <t>REQ003-4</t>
  </si>
  <si>
    <t>Agregar dentro del formulario un boton que altere la informcion del producto dentro de la tabla producto</t>
  </si>
  <si>
    <t>REQ004-1</t>
  </si>
  <si>
    <t>Agregar botón  Eliminar dentro de la  gestion del administrador</t>
  </si>
  <si>
    <t>Jonathan Rodrigez</t>
  </si>
  <si>
    <t>REQ004-2</t>
  </si>
  <si>
    <t>Crear una advertencia en caso de no seleccionar un producto para eliminar</t>
  </si>
  <si>
    <t>REQ004-3</t>
  </si>
  <si>
    <t>Crear una confirmacion cada vez que se quiera eliminara un producto</t>
  </si>
  <si>
    <t>REQ004-4</t>
  </si>
  <si>
    <t>Verificar que el prodcuto ya no aparesca dentro de la tabla de productos</t>
  </si>
  <si>
    <t xml:space="preserve">#intentos de ingreso </t>
  </si>
  <si>
    <t>REQ005-1</t>
  </si>
  <si>
    <t>Crear visualmente la barra de búsqueda dentro del módulo de catálogo de productos, incluyendo el campo de texto</t>
  </si>
  <si>
    <t>REQ005-2</t>
  </si>
  <si>
    <t>Escribir la consulta con filtros por nombre y vincularla con la barra de búsqueda desde el código Java</t>
  </si>
  <si>
    <t>REQ005-3</t>
  </si>
  <si>
    <t>Configurar la interfaz para que cada vez que el usuario escriba en el buscador los resultados se actualicen automáticamente sin necesidad de recargar</t>
  </si>
  <si>
    <t>REQ005-4</t>
  </si>
  <si>
    <t>Probar el buscador escribiendo nombres de productos reales del catálogo y verificar que los resultados mostrados sean correctos</t>
  </si>
  <si>
    <t>REQ006-1</t>
  </si>
  <si>
    <t>Agregar botón "Ver más" en cada producto del catálogo.</t>
  </si>
  <si>
    <t>REQ006-2</t>
  </si>
  <si>
    <t>Crear ventana con detalles del producto.</t>
  </si>
  <si>
    <t>REQ006-3</t>
  </si>
  <si>
    <t>Vincular ficha a los datos del producto desde los registros</t>
  </si>
  <si>
    <t>REQ006-4</t>
  </si>
  <si>
    <t>Probar que la información mostrada coincide con el producto seleccionado.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</si>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</sst>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Inconsolata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12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0"/>
      <color rgb="FF4472C4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292A2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3" borderId="1" xfId="0" applyFont="1" applyFill="1" applyBorder="1"/>
    <xf numFmtId="0" fontId="2" fillId="0" borderId="0" xfId="0" applyFont="1"/>
    <xf numFmtId="0" fontId="3" fillId="4" borderId="2" xfId="0" applyFont="1" applyFill="1" applyBorder="1"/>
    <xf numFmtId="0" fontId="3" fillId="0" borderId="2" xfId="0" applyFont="1" applyBorder="1"/>
    <xf numFmtId="0" fontId="4" fillId="2" borderId="2" xfId="0" applyFont="1" applyFill="1" applyBorder="1"/>
    <xf numFmtId="0" fontId="2" fillId="0" borderId="3" xfId="0" applyFont="1" applyBorder="1" applyAlignment="1">
      <alignment horizontal="center"/>
    </xf>
    <xf numFmtId="0" fontId="5" fillId="3" borderId="1" xfId="0" applyFont="1" applyFill="1" applyBorder="1"/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1" xfId="0" applyFont="1" applyBorder="1"/>
    <xf numFmtId="0" fontId="7" fillId="0" borderId="0" xfId="0" applyFont="1" applyAlignment="1">
      <alignment horizontal="left" vertical="top"/>
    </xf>
    <xf numFmtId="0" fontId="0" fillId="6" borderId="0" xfId="0" applyFill="1"/>
    <xf numFmtId="0" fontId="0" fillId="5" borderId="0" xfId="0" applyFill="1"/>
    <xf numFmtId="0" fontId="7" fillId="0" borderId="3" xfId="0" applyFont="1" applyBorder="1"/>
    <xf numFmtId="0" fontId="7" fillId="0" borderId="3" xfId="0" applyFont="1" applyBorder="1" applyAlignment="1">
      <alignment wrapText="1"/>
    </xf>
    <xf numFmtId="0" fontId="0" fillId="7" borderId="0" xfId="0" applyFill="1"/>
    <xf numFmtId="0" fontId="10" fillId="0" borderId="0" xfId="0" applyFont="1"/>
    <xf numFmtId="0" fontId="5" fillId="7" borderId="1" xfId="0" applyFont="1" applyFill="1" applyBorder="1" applyAlignment="1">
      <alignment horizontal="left" wrapText="1"/>
    </xf>
    <xf numFmtId="0" fontId="0" fillId="0" borderId="1" xfId="0" applyBorder="1"/>
    <xf numFmtId="0" fontId="0" fillId="7" borderId="0" xfId="0" applyFill="1" applyAlignment="1">
      <alignment wrapText="1"/>
    </xf>
    <xf numFmtId="0" fontId="11" fillId="0" borderId="0" xfId="0" applyFont="1"/>
    <xf numFmtId="0" fontId="7" fillId="0" borderId="3" xfId="0" applyFont="1" applyBorder="1" applyAlignment="1">
      <alignment horizontal="left" wrapText="1"/>
    </xf>
    <xf numFmtId="0" fontId="12" fillId="0" borderId="0" xfId="0" applyFont="1"/>
    <xf numFmtId="0" fontId="12" fillId="0" borderId="1" xfId="0" applyFont="1" applyBorder="1"/>
    <xf numFmtId="0" fontId="13" fillId="7" borderId="0" xfId="0" applyFont="1" applyFill="1" applyAlignment="1">
      <alignment wrapText="1"/>
    </xf>
    <xf numFmtId="0" fontId="13" fillId="7" borderId="0" xfId="0" applyFont="1" applyFill="1"/>
    <xf numFmtId="0" fontId="13" fillId="0" borderId="0" xfId="0" applyFont="1"/>
    <xf numFmtId="0" fontId="14" fillId="0" borderId="0" xfId="0" applyFont="1"/>
    <xf numFmtId="0" fontId="7" fillId="0" borderId="3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0" borderId="3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E7712DCA-B5C0-4386-B0FB-25F6A2059643}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burdonchart!$B$13:$J$13</c15:sqref>
                  </c15:fullRef>
                </c:ext>
              </c:extLst>
              <c:f>burdonchart!$B$13:$H$13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30</c:v>
                </c:pt>
                <c:pt idx="3">
                  <c:v>14</c:v>
                </c:pt>
                <c:pt idx="4">
                  <c:v>5</c:v>
                </c:pt>
                <c:pt idx="5">
                  <c:v>-2</c:v>
                </c:pt>
                <c:pt idx="6">
                  <c:v>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9-4C3D-AE3A-D603C95EF801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burdonchart!$B$14:$J$14</c15:sqref>
                  </c15:fullRef>
                </c:ext>
              </c:extLst>
              <c:f>burdonchart!$B$14:$H$14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42.857142857142854</c:v>
                </c:pt>
                <c:pt idx="3">
                  <c:v>35.714285714285708</c:v>
                </c:pt>
                <c:pt idx="4">
                  <c:v>28.571428571428566</c:v>
                </c:pt>
                <c:pt idx="5">
                  <c:v>21.428571428571423</c:v>
                </c:pt>
                <c:pt idx="6">
                  <c:v>14.285714285714281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9-4C3D-AE3A-D603C95E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662686</xdr:colOff>
      <xdr:row>1</xdr:row>
      <xdr:rowOff>7885</xdr:rowOff>
    </xdr:from>
    <xdr:ext cx="8056558" cy="493769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tabSelected="1" zoomScale="77" zoomScaleNormal="145" workbookViewId="0">
      <selection activeCell="F14" sqref="F14"/>
    </sheetView>
  </sheetViews>
  <sheetFormatPr defaultColWidth="12.5546875" defaultRowHeight="15" customHeight="1" x14ac:dyDescent="0.25"/>
  <cols>
    <col min="1" max="1" width="12.5546875" customWidth="1"/>
    <col min="2" max="2" width="44.6640625" bestFit="1" customWidth="1"/>
    <col min="3" max="3" width="16.88671875" customWidth="1"/>
    <col min="4" max="4" width="44.109375" customWidth="1"/>
    <col min="5" max="5" width="54.88671875" bestFit="1" customWidth="1"/>
    <col min="6" max="6" width="34.44140625" customWidth="1"/>
  </cols>
  <sheetData>
    <row r="1" spans="1:8" ht="15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26.4" x14ac:dyDescent="0.25">
      <c r="A2" s="16" t="s">
        <v>8</v>
      </c>
      <c r="B2" s="16" t="s">
        <v>9</v>
      </c>
      <c r="C2" s="16" t="s">
        <v>10</v>
      </c>
      <c r="D2" s="31" t="s">
        <v>11</v>
      </c>
      <c r="E2" s="17" t="s">
        <v>12</v>
      </c>
      <c r="F2" s="16"/>
      <c r="G2" s="16" t="s">
        <v>13</v>
      </c>
      <c r="H2" s="16" t="s">
        <v>14</v>
      </c>
    </row>
    <row r="3" spans="1:8" ht="13.2" x14ac:dyDescent="0.25">
      <c r="A3" s="16" t="s">
        <v>15</v>
      </c>
      <c r="B3" s="17" t="s">
        <v>16</v>
      </c>
      <c r="C3" s="16" t="s">
        <v>10</v>
      </c>
      <c r="D3" s="17" t="s">
        <v>17</v>
      </c>
      <c r="E3" s="17" t="s">
        <v>18</v>
      </c>
      <c r="F3" s="17"/>
      <c r="G3" s="16" t="s">
        <v>13</v>
      </c>
      <c r="H3" s="16" t="s">
        <v>14</v>
      </c>
    </row>
    <row r="4" spans="1:8" ht="13.2" x14ac:dyDescent="0.25">
      <c r="A4" s="16" t="s">
        <v>19</v>
      </c>
      <c r="B4" s="16" t="s">
        <v>20</v>
      </c>
      <c r="C4" s="16" t="s">
        <v>10</v>
      </c>
      <c r="D4" s="17" t="s">
        <v>21</v>
      </c>
      <c r="E4" s="17" t="s">
        <v>22</v>
      </c>
      <c r="F4" s="17"/>
      <c r="G4" s="16" t="s">
        <v>13</v>
      </c>
      <c r="H4" s="16" t="s">
        <v>14</v>
      </c>
    </row>
    <row r="5" spans="1:8" ht="26.4" x14ac:dyDescent="0.25">
      <c r="A5" s="16" t="s">
        <v>23</v>
      </c>
      <c r="B5" s="16" t="s">
        <v>24</v>
      </c>
      <c r="C5" s="16" t="s">
        <v>10</v>
      </c>
      <c r="D5" s="24" t="s">
        <v>25</v>
      </c>
      <c r="E5" s="17" t="s">
        <v>26</v>
      </c>
      <c r="F5" s="17"/>
      <c r="G5" s="16" t="s">
        <v>13</v>
      </c>
      <c r="H5" s="16" t="s">
        <v>14</v>
      </c>
    </row>
    <row r="6" spans="1:8" ht="26.4" x14ac:dyDescent="0.25">
      <c r="A6" s="16" t="s">
        <v>27</v>
      </c>
      <c r="B6" s="16" t="s">
        <v>28</v>
      </c>
      <c r="C6" s="16" t="s">
        <v>29</v>
      </c>
      <c r="D6" s="17" t="s">
        <v>30</v>
      </c>
      <c r="E6" s="34" t="s">
        <v>31</v>
      </c>
      <c r="F6" s="17"/>
      <c r="G6" s="16" t="s">
        <v>13</v>
      </c>
      <c r="H6" s="16" t="s">
        <v>14</v>
      </c>
    </row>
    <row r="7" spans="1:8" ht="26.4" x14ac:dyDescent="0.25">
      <c r="A7" s="16" t="s">
        <v>32</v>
      </c>
      <c r="B7" s="16" t="s">
        <v>33</v>
      </c>
      <c r="C7" s="16" t="s">
        <v>10</v>
      </c>
      <c r="D7" s="17" t="s">
        <v>34</v>
      </c>
      <c r="E7" s="17" t="s">
        <v>35</v>
      </c>
      <c r="F7" s="17"/>
      <c r="G7" s="16" t="s">
        <v>13</v>
      </c>
      <c r="H7" s="16" t="s">
        <v>14</v>
      </c>
    </row>
    <row r="8" spans="1:8" ht="13.2" x14ac:dyDescent="0.25"/>
    <row r="9" spans="1:8" ht="15.75" customHeight="1" x14ac:dyDescent="0.25"/>
    <row r="10" spans="1:8" ht="15.75" customHeight="1" x14ac:dyDescent="0.25"/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honeticPr fontId="9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257A-BDED-4858-9D35-EA701F1E7CC7}">
  <sheetPr>
    <outlinePr summaryBelow="0" summaryRight="0"/>
  </sheetPr>
  <dimension ref="A1:J962"/>
  <sheetViews>
    <sheetView topLeftCell="A29" zoomScale="85" zoomScaleNormal="100" workbookViewId="0">
      <selection activeCell="C62" sqref="C62"/>
    </sheetView>
  </sheetViews>
  <sheetFormatPr defaultColWidth="12.5546875" defaultRowHeight="15" customHeight="1" x14ac:dyDescent="0.25"/>
  <cols>
    <col min="1" max="2" width="12.5546875" customWidth="1"/>
    <col min="3" max="3" width="106.6640625" bestFit="1" customWidth="1"/>
    <col min="4" max="4" width="20.44140625" bestFit="1" customWidth="1"/>
    <col min="5" max="5" width="43.5546875" bestFit="1" customWidth="1"/>
    <col min="6" max="6" width="56.109375" customWidth="1"/>
    <col min="7" max="7" width="29" bestFit="1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0</v>
      </c>
      <c r="C3" s="1" t="s">
        <v>1</v>
      </c>
      <c r="D3" s="1" t="s">
        <v>2</v>
      </c>
      <c r="E3" s="1" t="s">
        <v>36</v>
      </c>
      <c r="F3" s="1" t="s">
        <v>37</v>
      </c>
      <c r="G3" s="1" t="s">
        <v>5</v>
      </c>
      <c r="H3" s="1" t="s">
        <v>38</v>
      </c>
      <c r="I3" s="1" t="s">
        <v>39</v>
      </c>
    </row>
    <row r="4" spans="2:9" ht="15.75" customHeight="1" x14ac:dyDescent="0.25">
      <c r="B4" s="3" t="s">
        <v>8</v>
      </c>
      <c r="C4" s="3" t="s">
        <v>9</v>
      </c>
      <c r="D4" s="3" t="s">
        <v>10</v>
      </c>
      <c r="E4" s="9" t="s">
        <v>40</v>
      </c>
      <c r="F4" s="3" t="s">
        <v>12</v>
      </c>
      <c r="G4" s="3" t="s">
        <v>41</v>
      </c>
      <c r="H4" s="3" t="s">
        <v>13</v>
      </c>
      <c r="I4" s="3" t="s">
        <v>42</v>
      </c>
    </row>
    <row r="5" spans="2:9" ht="15.75" customHeight="1" x14ac:dyDescent="0.25">
      <c r="B5" s="2"/>
      <c r="C5" s="4" t="s">
        <v>43</v>
      </c>
      <c r="D5" s="2"/>
      <c r="E5" s="2"/>
      <c r="F5" s="2"/>
      <c r="G5" s="4" t="s">
        <v>44</v>
      </c>
      <c r="H5" s="2"/>
      <c r="I5" s="4" t="s">
        <v>45</v>
      </c>
    </row>
    <row r="6" spans="2:9" ht="15.75" customHeight="1" x14ac:dyDescent="0.25">
      <c r="B6" s="11" t="s">
        <v>46</v>
      </c>
      <c r="C6" s="32" t="s">
        <v>47</v>
      </c>
      <c r="D6" s="33"/>
      <c r="E6" s="33"/>
      <c r="F6" s="33"/>
      <c r="G6" t="s">
        <v>48</v>
      </c>
      <c r="H6" s="2"/>
      <c r="I6" s="10">
        <v>4</v>
      </c>
    </row>
    <row r="7" spans="2:9" ht="15.75" customHeight="1" x14ac:dyDescent="0.25">
      <c r="B7" s="11" t="s">
        <v>49</v>
      </c>
      <c r="C7" s="32" t="s">
        <v>50</v>
      </c>
      <c r="D7" s="33"/>
      <c r="E7" s="33"/>
      <c r="F7" s="33"/>
      <c r="G7" t="s">
        <v>48</v>
      </c>
      <c r="H7" s="2"/>
      <c r="I7" s="10">
        <v>1</v>
      </c>
    </row>
    <row r="8" spans="2:9" ht="15.75" customHeight="1" x14ac:dyDescent="0.25">
      <c r="B8" s="11" t="s">
        <v>51</v>
      </c>
      <c r="C8" s="32" t="s">
        <v>52</v>
      </c>
      <c r="D8" s="33"/>
      <c r="E8" s="33"/>
      <c r="F8" s="33"/>
      <c r="G8" t="s">
        <v>48</v>
      </c>
      <c r="H8" s="2"/>
      <c r="I8" s="11">
        <v>2</v>
      </c>
    </row>
    <row r="9" spans="2:9" ht="15.75" customHeight="1" x14ac:dyDescent="0.25">
      <c r="B9" s="13" t="s">
        <v>53</v>
      </c>
      <c r="C9" s="2" t="s">
        <v>54</v>
      </c>
      <c r="D9" s="2"/>
      <c r="E9" s="2"/>
      <c r="F9" s="2"/>
      <c r="G9" t="s">
        <v>48</v>
      </c>
      <c r="H9" s="1"/>
      <c r="I9" s="10">
        <v>4</v>
      </c>
    </row>
    <row r="10" spans="2:9" ht="15.75" customHeight="1" x14ac:dyDescent="0.25">
      <c r="B10" s="23" t="s">
        <v>55</v>
      </c>
      <c r="C10" s="2" t="s">
        <v>56</v>
      </c>
      <c r="D10" s="2"/>
      <c r="E10" s="2"/>
      <c r="F10" s="2"/>
      <c r="G10" t="s">
        <v>48</v>
      </c>
      <c r="H10" s="1"/>
      <c r="I10" s="10">
        <v>4</v>
      </c>
    </row>
    <row r="11" spans="2:9" ht="15.75" customHeight="1" x14ac:dyDescent="0.25">
      <c r="B11" s="23" t="s">
        <v>57</v>
      </c>
      <c r="C11" t="s">
        <v>58</v>
      </c>
      <c r="G11" t="s">
        <v>48</v>
      </c>
      <c r="H11" s="12"/>
      <c r="I11" s="12">
        <v>1</v>
      </c>
    </row>
    <row r="12" spans="2:9" ht="15.75" customHeight="1" x14ac:dyDescent="0.25">
      <c r="B12" s="2"/>
      <c r="C12" s="4"/>
      <c r="D12" s="2"/>
      <c r="E12" s="2"/>
      <c r="F12" s="2"/>
      <c r="G12" s="4"/>
      <c r="H12" s="2"/>
      <c r="I12" s="4"/>
    </row>
    <row r="13" spans="2:9" s="25" customFormat="1" ht="15.75" customHeight="1" x14ac:dyDescent="0.25">
      <c r="B13" s="25" t="s">
        <v>0</v>
      </c>
      <c r="C13" s="25" t="s">
        <v>1</v>
      </c>
      <c r="D13" s="25" t="s">
        <v>2</v>
      </c>
      <c r="E13" s="25" t="s">
        <v>36</v>
      </c>
      <c r="F13" s="25" t="s">
        <v>37</v>
      </c>
      <c r="G13" s="25" t="s">
        <v>5</v>
      </c>
      <c r="H13" s="25" t="s">
        <v>38</v>
      </c>
      <c r="I13" s="25" t="s">
        <v>39</v>
      </c>
    </row>
    <row r="14" spans="2:9" ht="13.2" x14ac:dyDescent="0.25">
      <c r="B14" s="18" t="s">
        <v>15</v>
      </c>
      <c r="C14" s="27" t="s">
        <v>16</v>
      </c>
      <c r="D14" s="28" t="s">
        <v>10</v>
      </c>
      <c r="E14" s="22" t="s">
        <v>17</v>
      </c>
      <c r="F14" s="27" t="s">
        <v>18</v>
      </c>
      <c r="G14" s="18" t="s">
        <v>41</v>
      </c>
      <c r="H14" s="18" t="s">
        <v>13</v>
      </c>
      <c r="I14" s="18" t="s">
        <v>42</v>
      </c>
    </row>
    <row r="15" spans="2:9" s="25" customFormat="1" ht="15.75" customHeight="1" x14ac:dyDescent="0.25">
      <c r="C15" s="25" t="s">
        <v>43</v>
      </c>
      <c r="G15" s="25" t="s">
        <v>44</v>
      </c>
      <c r="I15" s="25" t="s">
        <v>45</v>
      </c>
    </row>
    <row r="16" spans="2:9" ht="15.75" customHeight="1" x14ac:dyDescent="0.25">
      <c r="B16" s="19" t="s">
        <v>59</v>
      </c>
      <c r="C16" s="29" t="s">
        <v>60</v>
      </c>
      <c r="G16" t="s">
        <v>61</v>
      </c>
      <c r="I16" s="19">
        <v>4</v>
      </c>
    </row>
    <row r="17" spans="1:10" ht="15.75" customHeight="1" x14ac:dyDescent="0.25">
      <c r="B17" s="19" t="s">
        <v>62</v>
      </c>
      <c r="C17" s="29" t="s">
        <v>63</v>
      </c>
      <c r="G17" t="s">
        <v>61</v>
      </c>
      <c r="I17" s="19">
        <v>4</v>
      </c>
    </row>
    <row r="18" spans="1:10" ht="15.75" customHeight="1" x14ac:dyDescent="0.25">
      <c r="B18" s="19" t="s">
        <v>64</v>
      </c>
      <c r="C18" s="29" t="s">
        <v>65</v>
      </c>
      <c r="G18" t="s">
        <v>61</v>
      </c>
      <c r="I18" s="19">
        <v>4</v>
      </c>
    </row>
    <row r="19" spans="1:10" ht="15.75" customHeight="1" x14ac:dyDescent="0.25">
      <c r="B19" s="19" t="s">
        <v>66</v>
      </c>
      <c r="C19" s="29" t="s">
        <v>67</v>
      </c>
      <c r="G19" t="s">
        <v>61</v>
      </c>
      <c r="I19" s="19">
        <v>4</v>
      </c>
    </row>
    <row r="20" spans="1:10" ht="15.75" customHeight="1" x14ac:dyDescent="0.25">
      <c r="B20" s="19"/>
      <c r="C20" s="29"/>
      <c r="I20" s="19"/>
    </row>
    <row r="21" spans="1:10" ht="15.75" customHeight="1" x14ac:dyDescent="0.25"/>
    <row r="22" spans="1:10" s="25" customFormat="1" ht="15.75" customHeight="1" x14ac:dyDescent="0.25">
      <c r="B22" s="26" t="s">
        <v>0</v>
      </c>
      <c r="C22" s="26" t="s">
        <v>1</v>
      </c>
      <c r="D22" s="26" t="s">
        <v>2</v>
      </c>
      <c r="E22" s="26" t="s">
        <v>36</v>
      </c>
      <c r="F22" s="26" t="s">
        <v>37</v>
      </c>
      <c r="G22" s="26" t="s">
        <v>5</v>
      </c>
      <c r="H22" s="26" t="s">
        <v>38</v>
      </c>
      <c r="I22" s="26" t="s">
        <v>39</v>
      </c>
    </row>
    <row r="23" spans="1:10" ht="13.2" x14ac:dyDescent="0.25">
      <c r="A23" s="21"/>
      <c r="B23" s="20" t="s">
        <v>19</v>
      </c>
      <c r="C23" s="20" t="s">
        <v>20</v>
      </c>
      <c r="D23" s="20" t="s">
        <v>10</v>
      </c>
      <c r="E23" s="20" t="s">
        <v>21</v>
      </c>
      <c r="F23" s="20" t="s">
        <v>22</v>
      </c>
      <c r="G23" s="20" t="s">
        <v>41</v>
      </c>
      <c r="H23" s="20" t="s">
        <v>13</v>
      </c>
      <c r="I23" s="20" t="s">
        <v>42</v>
      </c>
      <c r="J23" s="21"/>
    </row>
    <row r="24" spans="1:10" s="25" customFormat="1" ht="15.75" customHeight="1" x14ac:dyDescent="0.25">
      <c r="B24" s="26"/>
      <c r="C24" s="26" t="s">
        <v>43</v>
      </c>
      <c r="D24" s="26"/>
      <c r="E24" s="26"/>
      <c r="F24" s="26"/>
      <c r="G24" s="26" t="s">
        <v>44</v>
      </c>
      <c r="H24" s="26"/>
      <c r="I24" s="26" t="s">
        <v>45</v>
      </c>
    </row>
    <row r="25" spans="1:10" ht="15.75" customHeight="1" x14ac:dyDescent="0.25">
      <c r="B25" s="19" t="s">
        <v>68</v>
      </c>
      <c r="C25" s="29" t="s">
        <v>69</v>
      </c>
      <c r="G25" t="s">
        <v>70</v>
      </c>
      <c r="I25" s="19">
        <v>1</v>
      </c>
    </row>
    <row r="26" spans="1:10" ht="15.75" customHeight="1" x14ac:dyDescent="0.25">
      <c r="B26" s="19" t="s">
        <v>71</v>
      </c>
      <c r="C26" s="29" t="s">
        <v>72</v>
      </c>
      <c r="G26" t="s">
        <v>70</v>
      </c>
      <c r="I26" s="19">
        <v>4</v>
      </c>
    </row>
    <row r="27" spans="1:10" ht="15.75" customHeight="1" x14ac:dyDescent="0.25">
      <c r="B27" s="19" t="s">
        <v>73</v>
      </c>
      <c r="C27" s="29" t="s">
        <v>74</v>
      </c>
      <c r="G27" t="s">
        <v>70</v>
      </c>
      <c r="I27" s="19">
        <v>4</v>
      </c>
    </row>
    <row r="28" spans="1:10" ht="15.75" customHeight="1" x14ac:dyDescent="0.25">
      <c r="B28" s="19" t="s">
        <v>75</v>
      </c>
      <c r="C28" s="29" t="s">
        <v>76</v>
      </c>
      <c r="G28" t="s">
        <v>70</v>
      </c>
      <c r="I28" s="19">
        <v>4</v>
      </c>
    </row>
    <row r="29" spans="1:10" ht="15.75" customHeight="1" x14ac:dyDescent="0.25"/>
    <row r="30" spans="1:10" ht="15.75" customHeight="1" x14ac:dyDescent="0.25"/>
    <row r="31" spans="1:10" s="25" customFormat="1" ht="15.75" customHeight="1" x14ac:dyDescent="0.25">
      <c r="B31" s="25" t="s">
        <v>0</v>
      </c>
      <c r="C31" s="25" t="s">
        <v>1</v>
      </c>
      <c r="D31" s="25" t="s">
        <v>2</v>
      </c>
      <c r="E31" s="25" t="s">
        <v>36</v>
      </c>
      <c r="F31" s="25" t="s">
        <v>37</v>
      </c>
      <c r="G31" s="25" t="s">
        <v>5</v>
      </c>
      <c r="H31" s="25" t="s">
        <v>38</v>
      </c>
      <c r="I31" s="25" t="s">
        <v>39</v>
      </c>
    </row>
    <row r="32" spans="1:10" ht="26.4" x14ac:dyDescent="0.25">
      <c r="B32" s="18" t="s">
        <v>23</v>
      </c>
      <c r="C32" s="27" t="s">
        <v>24</v>
      </c>
      <c r="D32" s="18" t="s">
        <v>10</v>
      </c>
      <c r="E32" s="22" t="s">
        <v>25</v>
      </c>
      <c r="F32" s="22" t="s">
        <v>26</v>
      </c>
      <c r="G32" s="18" t="s">
        <v>41</v>
      </c>
      <c r="H32" s="18" t="s">
        <v>13</v>
      </c>
      <c r="I32" s="20" t="s">
        <v>42</v>
      </c>
    </row>
    <row r="33" spans="2:9" s="25" customFormat="1" ht="15.75" customHeight="1" x14ac:dyDescent="0.25">
      <c r="C33" s="25" t="s">
        <v>43</v>
      </c>
      <c r="G33" s="25" t="s">
        <v>44</v>
      </c>
      <c r="I33" s="25" t="s">
        <v>45</v>
      </c>
    </row>
    <row r="34" spans="2:9" ht="15.75" customHeight="1" x14ac:dyDescent="0.25">
      <c r="B34" s="19" t="s">
        <v>77</v>
      </c>
      <c r="C34" s="29" t="s">
        <v>78</v>
      </c>
      <c r="G34" s="2" t="s">
        <v>79</v>
      </c>
      <c r="I34" s="19">
        <v>5</v>
      </c>
    </row>
    <row r="35" spans="2:9" ht="13.2" x14ac:dyDescent="0.25">
      <c r="B35" s="19" t="s">
        <v>80</v>
      </c>
      <c r="C35" s="29" t="s">
        <v>81</v>
      </c>
      <c r="G35" s="2" t="s">
        <v>79</v>
      </c>
      <c r="I35" s="19">
        <v>3</v>
      </c>
    </row>
    <row r="36" spans="2:9" ht="13.2" x14ac:dyDescent="0.25">
      <c r="B36" s="19" t="s">
        <v>82</v>
      </c>
      <c r="C36" s="29" t="s">
        <v>83</v>
      </c>
      <c r="G36" s="2" t="s">
        <v>79</v>
      </c>
      <c r="I36" s="19">
        <v>3</v>
      </c>
    </row>
    <row r="37" spans="2:9" ht="13.2" x14ac:dyDescent="0.25">
      <c r="B37" s="19" t="s">
        <v>84</v>
      </c>
      <c r="C37" s="29" t="s">
        <v>85</v>
      </c>
      <c r="G37" s="2" t="s">
        <v>79</v>
      </c>
      <c r="I37" s="19">
        <v>4</v>
      </c>
    </row>
    <row r="38" spans="2:9" ht="15.75" customHeight="1" x14ac:dyDescent="0.25"/>
    <row r="39" spans="2:9" ht="15.75" customHeight="1" x14ac:dyDescent="0.25"/>
    <row r="40" spans="2:9" ht="15.75" customHeight="1" x14ac:dyDescent="0.25"/>
    <row r="41" spans="2:9" ht="15.75" customHeight="1" x14ac:dyDescent="0.25">
      <c r="B41" s="26" t="s">
        <v>0</v>
      </c>
      <c r="C41" s="26" t="s">
        <v>1</v>
      </c>
      <c r="D41" s="26" t="s">
        <v>2</v>
      </c>
      <c r="E41" s="26" t="s">
        <v>36</v>
      </c>
      <c r="F41" s="26" t="s">
        <v>37</v>
      </c>
      <c r="G41" s="26" t="s">
        <v>5</v>
      </c>
      <c r="H41" s="26" t="s">
        <v>38</v>
      </c>
      <c r="I41" s="26" t="s">
        <v>39</v>
      </c>
    </row>
    <row r="42" spans="2:9" ht="15.75" customHeight="1" x14ac:dyDescent="0.25">
      <c r="B42" s="20" t="s">
        <v>27</v>
      </c>
      <c r="C42" s="20" t="s">
        <v>28</v>
      </c>
      <c r="D42" s="20" t="s">
        <v>29</v>
      </c>
      <c r="E42" s="20" t="s">
        <v>30</v>
      </c>
      <c r="F42" s="20" t="s">
        <v>31</v>
      </c>
      <c r="G42" s="20" t="s">
        <v>86</v>
      </c>
      <c r="H42" s="20" t="s">
        <v>13</v>
      </c>
      <c r="I42" s="20" t="s">
        <v>42</v>
      </c>
    </row>
    <row r="43" spans="2:9" ht="15.75" customHeight="1" x14ac:dyDescent="0.25">
      <c r="B43" s="26"/>
      <c r="C43" s="26" t="s">
        <v>43</v>
      </c>
      <c r="D43" s="26"/>
      <c r="E43" s="26"/>
      <c r="F43" s="26"/>
      <c r="G43" s="26" t="s">
        <v>44</v>
      </c>
      <c r="H43" s="26"/>
      <c r="I43" s="26" t="s">
        <v>45</v>
      </c>
    </row>
    <row r="44" spans="2:9" ht="15.75" customHeight="1" x14ac:dyDescent="0.4">
      <c r="B44" s="19" t="s">
        <v>87</v>
      </c>
      <c r="C44" s="30" t="s">
        <v>88</v>
      </c>
      <c r="G44" t="s">
        <v>70</v>
      </c>
      <c r="I44" s="19">
        <v>1</v>
      </c>
    </row>
    <row r="45" spans="2:9" ht="15.75" customHeight="1" x14ac:dyDescent="0.25">
      <c r="B45" s="19" t="s">
        <v>89</v>
      </c>
      <c r="C45" s="29" t="s">
        <v>90</v>
      </c>
      <c r="G45" t="s">
        <v>70</v>
      </c>
      <c r="I45" s="19">
        <v>4</v>
      </c>
    </row>
    <row r="46" spans="2:9" ht="15.75" customHeight="1" x14ac:dyDescent="0.4">
      <c r="B46" s="19" t="s">
        <v>91</v>
      </c>
      <c r="C46" s="30" t="s">
        <v>92</v>
      </c>
      <c r="G46" t="s">
        <v>70</v>
      </c>
      <c r="I46" s="19">
        <v>4</v>
      </c>
    </row>
    <row r="47" spans="2:9" ht="15.75" customHeight="1" x14ac:dyDescent="0.25">
      <c r="B47" s="19" t="s">
        <v>93</v>
      </c>
      <c r="C47" t="s">
        <v>94</v>
      </c>
      <c r="G47" t="s">
        <v>70</v>
      </c>
      <c r="I47" s="19">
        <v>4</v>
      </c>
    </row>
    <row r="48" spans="2:9" ht="15.75" customHeight="1" x14ac:dyDescent="0.25"/>
    <row r="49" spans="2:9" ht="15.75" customHeight="1" x14ac:dyDescent="0.25"/>
    <row r="50" spans="2:9" ht="15.75" customHeight="1" x14ac:dyDescent="0.25">
      <c r="B50" s="25" t="s">
        <v>0</v>
      </c>
      <c r="C50" s="25" t="s">
        <v>1</v>
      </c>
      <c r="D50" s="25" t="s">
        <v>2</v>
      </c>
      <c r="E50" s="25" t="s">
        <v>36</v>
      </c>
      <c r="F50" s="25" t="s">
        <v>37</v>
      </c>
      <c r="G50" s="25" t="s">
        <v>5</v>
      </c>
      <c r="H50" s="25" t="s">
        <v>38</v>
      </c>
      <c r="I50" s="25" t="s">
        <v>39</v>
      </c>
    </row>
    <row r="51" spans="2:9" ht="15.75" customHeight="1" x14ac:dyDescent="0.25">
      <c r="B51" s="18" t="s">
        <v>32</v>
      </c>
      <c r="C51" s="27" t="s">
        <v>33</v>
      </c>
      <c r="D51" s="18" t="s">
        <v>10</v>
      </c>
      <c r="E51" s="22" t="s">
        <v>34</v>
      </c>
      <c r="F51" s="22" t="s">
        <v>35</v>
      </c>
      <c r="G51" s="18" t="s">
        <v>41</v>
      </c>
      <c r="H51" s="18" t="s">
        <v>13</v>
      </c>
      <c r="I51" s="20" t="s">
        <v>42</v>
      </c>
    </row>
    <row r="52" spans="2:9" ht="15.75" customHeight="1" x14ac:dyDescent="0.25">
      <c r="B52" s="25"/>
      <c r="C52" s="25" t="s">
        <v>43</v>
      </c>
      <c r="D52" s="25"/>
      <c r="E52" s="25"/>
      <c r="F52" s="25"/>
      <c r="G52" s="25" t="s">
        <v>44</v>
      </c>
      <c r="H52" s="25"/>
      <c r="I52" s="25" t="s">
        <v>45</v>
      </c>
    </row>
    <row r="53" spans="2:9" ht="15.75" customHeight="1" x14ac:dyDescent="0.25">
      <c r="B53" s="19" t="s">
        <v>95</v>
      </c>
      <c r="C53" t="s">
        <v>96</v>
      </c>
      <c r="G53" s="2" t="s">
        <v>79</v>
      </c>
      <c r="I53" s="19">
        <v>5</v>
      </c>
    </row>
    <row r="54" spans="2:9" ht="15.75" customHeight="1" x14ac:dyDescent="0.25">
      <c r="B54" s="19" t="s">
        <v>97</v>
      </c>
      <c r="C54" s="29" t="s">
        <v>98</v>
      </c>
      <c r="G54" s="2" t="s">
        <v>79</v>
      </c>
      <c r="I54" s="19">
        <v>3</v>
      </c>
    </row>
    <row r="55" spans="2:9" ht="15.75" customHeight="1" x14ac:dyDescent="0.25">
      <c r="B55" s="19" t="s">
        <v>99</v>
      </c>
      <c r="C55" s="29" t="s">
        <v>100</v>
      </c>
      <c r="G55" s="2" t="s">
        <v>79</v>
      </c>
      <c r="I55" s="19">
        <v>3</v>
      </c>
    </row>
    <row r="56" spans="2:9" ht="15.75" customHeight="1" x14ac:dyDescent="0.25">
      <c r="B56" s="19" t="s">
        <v>101</v>
      </c>
      <c r="C56" t="s">
        <v>102</v>
      </c>
      <c r="G56" s="2" t="s">
        <v>79</v>
      </c>
      <c r="I56" s="19">
        <v>4</v>
      </c>
    </row>
    <row r="57" spans="2:9" ht="15.75" customHeight="1" x14ac:dyDescent="0.25"/>
    <row r="58" spans="2:9" ht="15.75" customHeight="1" x14ac:dyDescent="0.25"/>
    <row r="59" spans="2:9" ht="15.75" customHeight="1" x14ac:dyDescent="0.25"/>
    <row r="60" spans="2:9" ht="15.75" customHeight="1" x14ac:dyDescent="0.25"/>
    <row r="61" spans="2:9" ht="15.75" customHeight="1" x14ac:dyDescent="0.25"/>
    <row r="62" spans="2:9" ht="15.75" customHeight="1" x14ac:dyDescent="0.25"/>
    <row r="63" spans="2:9" ht="15.75" customHeight="1" x14ac:dyDescent="0.25"/>
    <row r="64" spans="2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76"/>
  <sheetViews>
    <sheetView zoomScale="55" zoomScaleNormal="55" workbookViewId="0">
      <selection activeCell="K36" sqref="K36"/>
    </sheetView>
  </sheetViews>
  <sheetFormatPr defaultColWidth="12.5546875" defaultRowHeight="15" customHeight="1" x14ac:dyDescent="0.25"/>
  <cols>
    <col min="1" max="1" width="12.5546875" customWidth="1"/>
    <col min="2" max="2" width="24.6640625" customWidth="1"/>
    <col min="3" max="3" width="12.5546875" customWidth="1"/>
    <col min="4" max="4" width="11.109375" customWidth="1"/>
    <col min="5" max="8" width="12.5546875" customWidth="1"/>
  </cols>
  <sheetData>
    <row r="1" spans="1:11" ht="15.75" customHeight="1" x14ac:dyDescent="0.25"/>
    <row r="2" spans="1:11" ht="15.75" customHeight="1" x14ac:dyDescent="0.25"/>
    <row r="3" spans="1:11" ht="15.75" customHeight="1" x14ac:dyDescent="0.25">
      <c r="B3" s="2"/>
      <c r="C3" s="2" t="s">
        <v>45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</row>
    <row r="4" spans="1:11" ht="15.75" customHeight="1" x14ac:dyDescent="0.25">
      <c r="B4" t="s">
        <v>46</v>
      </c>
      <c r="C4" s="15">
        <v>10</v>
      </c>
      <c r="D4">
        <v>8</v>
      </c>
      <c r="E4">
        <v>2</v>
      </c>
      <c r="F4">
        <v>1</v>
      </c>
      <c r="G4">
        <v>1</v>
      </c>
      <c r="H4">
        <v>2</v>
      </c>
      <c r="I4">
        <v>2</v>
      </c>
      <c r="J4">
        <v>1</v>
      </c>
      <c r="K4" s="14">
        <f>SUM(D4:J4)</f>
        <v>17</v>
      </c>
    </row>
    <row r="5" spans="1:11" ht="15.75" customHeight="1" x14ac:dyDescent="0.25">
      <c r="B5" s="29" t="s">
        <v>49</v>
      </c>
      <c r="C5" s="15">
        <v>10</v>
      </c>
      <c r="D5">
        <v>4</v>
      </c>
      <c r="E5">
        <v>4</v>
      </c>
      <c r="F5">
        <v>2</v>
      </c>
      <c r="G5">
        <v>2</v>
      </c>
      <c r="H5">
        <v>2</v>
      </c>
      <c r="I5">
        <v>1</v>
      </c>
      <c r="J5">
        <v>1</v>
      </c>
      <c r="K5" s="14">
        <f t="shared" ref="K5:K9" si="0">SUM(D5:J5)</f>
        <v>16</v>
      </c>
    </row>
    <row r="6" spans="1:11" ht="15.75" customHeight="1" x14ac:dyDescent="0.25">
      <c r="A6" s="2"/>
      <c r="B6" t="s">
        <v>51</v>
      </c>
      <c r="C6" s="15">
        <v>10</v>
      </c>
      <c r="D6">
        <v>5</v>
      </c>
      <c r="E6">
        <v>4</v>
      </c>
      <c r="F6">
        <v>2</v>
      </c>
      <c r="G6">
        <v>1</v>
      </c>
      <c r="H6">
        <v>2</v>
      </c>
      <c r="I6">
        <v>1</v>
      </c>
      <c r="J6">
        <v>1</v>
      </c>
      <c r="K6" s="14">
        <f t="shared" si="0"/>
        <v>16</v>
      </c>
    </row>
    <row r="7" spans="1:11" ht="15.75" customHeight="1" x14ac:dyDescent="0.25">
      <c r="A7" s="2"/>
      <c r="B7" t="s">
        <v>53</v>
      </c>
      <c r="C7" s="15">
        <v>10</v>
      </c>
      <c r="D7">
        <v>1</v>
      </c>
      <c r="E7">
        <v>4</v>
      </c>
      <c r="F7">
        <v>2</v>
      </c>
      <c r="G7">
        <v>1</v>
      </c>
      <c r="H7">
        <v>2</v>
      </c>
      <c r="I7">
        <v>1</v>
      </c>
      <c r="J7">
        <v>1</v>
      </c>
      <c r="K7" s="14">
        <f t="shared" si="0"/>
        <v>12</v>
      </c>
    </row>
    <row r="8" spans="1:11" ht="15.75" customHeight="1" x14ac:dyDescent="0.25">
      <c r="B8" t="s">
        <v>55</v>
      </c>
      <c r="C8" s="15">
        <v>5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 s="14">
        <f t="shared" si="0"/>
        <v>7</v>
      </c>
    </row>
    <row r="9" spans="1:11" ht="15.75" customHeight="1" x14ac:dyDescent="0.25">
      <c r="B9" t="s">
        <v>57</v>
      </c>
      <c r="C9" s="15">
        <v>5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 s="14">
        <f t="shared" si="0"/>
        <v>7</v>
      </c>
    </row>
    <row r="10" spans="1:11" ht="15.75" customHeight="1" x14ac:dyDescent="0.25"/>
    <row r="11" spans="1:11" ht="15.75" customHeight="1" x14ac:dyDescent="0.25"/>
    <row r="12" spans="1:11" ht="15.75" customHeight="1" x14ac:dyDescent="0.25"/>
    <row r="13" spans="1:11" ht="15.75" customHeight="1" x14ac:dyDescent="0.45">
      <c r="B13" s="5" t="s">
        <v>111</v>
      </c>
      <c r="C13" s="6">
        <f>SUM(C4:C9)</f>
        <v>50</v>
      </c>
      <c r="D13" s="6">
        <f t="shared" ref="D13:J13" si="1">C13-SUM(D4:D9)</f>
        <v>30</v>
      </c>
      <c r="E13" s="7">
        <f t="shared" si="1"/>
        <v>14</v>
      </c>
      <c r="F13" s="6">
        <f t="shared" si="1"/>
        <v>5</v>
      </c>
      <c r="G13" s="6">
        <f t="shared" si="1"/>
        <v>-2</v>
      </c>
      <c r="H13" s="6">
        <f t="shared" si="1"/>
        <v>-12</v>
      </c>
      <c r="I13" s="6">
        <f t="shared" si="1"/>
        <v>-19</v>
      </c>
      <c r="J13" s="6">
        <f t="shared" si="1"/>
        <v>-25</v>
      </c>
    </row>
    <row r="14" spans="1:11" ht="15.75" customHeight="1" x14ac:dyDescent="0.45">
      <c r="B14" s="5" t="s">
        <v>112</v>
      </c>
      <c r="C14" s="6">
        <f>SUM(C4:C9)</f>
        <v>50</v>
      </c>
      <c r="D14" s="6">
        <f>C14-(SUM(C4:C9)/7)</f>
        <v>42.857142857142854</v>
      </c>
      <c r="E14" s="7">
        <f>D14-(SUM(C4:C9)/7)</f>
        <v>35.714285714285708</v>
      </c>
      <c r="F14" s="6">
        <f>E14-(SUM(C4:C9)/7)</f>
        <v>28.571428571428566</v>
      </c>
      <c r="G14" s="6">
        <f>F14-(SUM(C4:C9)/7)</f>
        <v>21.428571428571423</v>
      </c>
      <c r="H14" s="6">
        <f>G14-(SUM(C4:C9)/7)</f>
        <v>14.285714285714281</v>
      </c>
      <c r="I14" s="6">
        <f>H14-(SUM(C4:C9)/7)</f>
        <v>7.1428571428571379</v>
      </c>
      <c r="J14" s="6">
        <f>I14-(SUM(C4:C9)/7)</f>
        <v>0</v>
      </c>
    </row>
    <row r="15" spans="1:11" ht="15.75" customHeight="1" x14ac:dyDescent="0.25"/>
    <row r="16" spans="1:11" ht="15.75" customHeight="1" x14ac:dyDescent="0.25"/>
    <row r="17" spans="2:5" ht="15.75" customHeight="1" x14ac:dyDescent="0.25"/>
    <row r="18" spans="2:5" ht="15.75" customHeight="1" x14ac:dyDescent="0.25"/>
    <row r="19" spans="2:5" ht="15.75" customHeight="1" x14ac:dyDescent="0.25"/>
    <row r="20" spans="2:5" ht="15.75" customHeight="1" x14ac:dyDescent="0.25"/>
    <row r="21" spans="2:5" ht="15.75" customHeight="1" x14ac:dyDescent="0.25"/>
    <row r="22" spans="2:5" ht="15.75" customHeight="1" x14ac:dyDescent="0.25"/>
    <row r="23" spans="2:5" ht="15.75" customHeight="1" x14ac:dyDescent="0.25">
      <c r="B23" s="35"/>
      <c r="C23" s="35"/>
      <c r="D23" s="35"/>
      <c r="E23" s="35"/>
    </row>
    <row r="24" spans="2:5" ht="15.75" customHeight="1" x14ac:dyDescent="0.25">
      <c r="B24" s="35"/>
      <c r="C24" s="35"/>
      <c r="D24" s="35"/>
      <c r="E24" s="35"/>
    </row>
    <row r="25" spans="2:5" ht="15.75" customHeight="1" x14ac:dyDescent="0.25">
      <c r="B25" s="35"/>
      <c r="C25" s="35"/>
      <c r="D25" s="35"/>
      <c r="E25" s="35"/>
    </row>
    <row r="26" spans="2:5" ht="15.75" customHeight="1" x14ac:dyDescent="0.25">
      <c r="B26" s="35"/>
      <c r="C26" s="35"/>
      <c r="D26" s="35"/>
      <c r="E26" s="35"/>
    </row>
    <row r="27" spans="2:5" ht="15.75" customHeight="1" x14ac:dyDescent="0.25">
      <c r="B27" s="35"/>
      <c r="C27" s="35"/>
      <c r="D27" s="35"/>
      <c r="E27" s="35"/>
    </row>
    <row r="28" spans="2:5" ht="15.75" customHeight="1" x14ac:dyDescent="0.25">
      <c r="B28" s="35"/>
      <c r="C28" s="35"/>
      <c r="D28" s="35"/>
      <c r="E28" s="35"/>
    </row>
    <row r="29" spans="2:5" ht="15.75" customHeight="1" x14ac:dyDescent="0.25">
      <c r="B29" s="35"/>
      <c r="C29" s="35"/>
      <c r="D29" s="35"/>
      <c r="E29" s="35"/>
    </row>
    <row r="30" spans="2:5" ht="15.75" customHeight="1" x14ac:dyDescent="0.25">
      <c r="B30" s="35"/>
      <c r="C30" s="35"/>
      <c r="D30" s="35"/>
      <c r="E30" s="35"/>
    </row>
    <row r="31" spans="2:5" ht="15.75" customHeight="1" x14ac:dyDescent="0.25">
      <c r="B31" s="35"/>
      <c r="C31" s="35"/>
      <c r="D31" s="35"/>
      <c r="E31" s="35"/>
    </row>
    <row r="32" spans="2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spans="2:5" ht="15.75" customHeight="1" x14ac:dyDescent="0.25"/>
    <row r="50" spans="2:5" ht="15.75" customHeight="1" x14ac:dyDescent="0.25"/>
    <row r="51" spans="2:5" ht="15.75" customHeight="1" x14ac:dyDescent="0.25">
      <c r="B51" s="35"/>
      <c r="C51" s="35"/>
      <c r="D51" s="35"/>
      <c r="E51" s="35"/>
    </row>
    <row r="52" spans="2:5" ht="15.75" customHeight="1" x14ac:dyDescent="0.25">
      <c r="B52" s="35"/>
      <c r="C52" s="35"/>
      <c r="D52" s="35"/>
      <c r="E52" s="35"/>
    </row>
    <row r="53" spans="2:5" ht="15.75" customHeight="1" x14ac:dyDescent="0.25">
      <c r="B53" s="35"/>
      <c r="C53" s="35"/>
      <c r="D53" s="35"/>
      <c r="E53" s="35"/>
    </row>
    <row r="54" spans="2:5" ht="15.75" customHeight="1" x14ac:dyDescent="0.25">
      <c r="B54" s="35"/>
      <c r="C54" s="35"/>
      <c r="D54" s="35"/>
      <c r="E54" s="35"/>
    </row>
    <row r="55" spans="2:5" ht="15.75" customHeight="1" x14ac:dyDescent="0.25">
      <c r="B55" s="35"/>
      <c r="C55" s="35"/>
      <c r="D55" s="35"/>
      <c r="E55" s="35"/>
    </row>
    <row r="56" spans="2:5" ht="15.75" customHeight="1" x14ac:dyDescent="0.25">
      <c r="B56" s="35"/>
      <c r="C56" s="35"/>
      <c r="D56" s="35"/>
      <c r="E56" s="35"/>
    </row>
    <row r="57" spans="2:5" ht="15.75" customHeight="1" x14ac:dyDescent="0.25">
      <c r="B57" s="35"/>
      <c r="C57" s="35"/>
      <c r="D57" s="35"/>
      <c r="E57" s="35"/>
    </row>
    <row r="58" spans="2:5" ht="15.75" customHeight="1" x14ac:dyDescent="0.25"/>
    <row r="59" spans="2:5" ht="15.75" customHeight="1" x14ac:dyDescent="0.25"/>
    <row r="60" spans="2:5" ht="15.75" customHeight="1" x14ac:dyDescent="0.25"/>
    <row r="61" spans="2:5" ht="15.75" customHeight="1" x14ac:dyDescent="0.25"/>
    <row r="62" spans="2:5" ht="15.75" customHeight="1" x14ac:dyDescent="0.25"/>
    <row r="63" spans="2:5" ht="15.75" customHeight="1" x14ac:dyDescent="0.25"/>
    <row r="64" spans="2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</sheetData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Backlog</vt:lpstr>
      <vt:lpstr>sprint0</vt:lpstr>
      <vt:lpstr>burdonchart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JOEL ALEJANDRO TAPIA SUAREZ</cp:lastModifiedBy>
  <cp:revision/>
  <dcterms:created xsi:type="dcterms:W3CDTF">2023-01-13T00:08:30Z</dcterms:created>
  <dcterms:modified xsi:type="dcterms:W3CDTF">2026-07-22T02:23:47Z</dcterms:modified>
  <cp:category/>
  <cp:contentStatus/>
</cp:coreProperties>
</file>
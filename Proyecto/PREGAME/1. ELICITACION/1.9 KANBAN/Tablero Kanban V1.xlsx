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esocasi\Desktop\mtodologia\"/>
    </mc:Choice>
  </mc:AlternateContent>
  <xr:revisionPtr revIDLastSave="0" documentId="8_{C2ACA73A-9DCD-417F-BC50-FBA0AF2FFD6C}" xr6:coauthVersionLast="47" xr6:coauthVersionMax="47" xr10:uidLastSave="{00000000-0000-0000-0000-000000000000}"/>
  <workbookProtection lockStructure="1"/>
  <bookViews>
    <workbookView xWindow="-120" yWindow="-120" windowWidth="29040" windowHeight="15720" firstSheet="1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58" i="2" l="1"/>
  <c r="H52" i="2"/>
  <c r="I57" i="2" a="1"/>
  <c r="I57" i="2" s="1"/>
  <c r="I51" i="2" a="1"/>
  <c r="I51" i="2" s="1"/>
  <c r="H57" i="2"/>
  <c r="H51" i="2"/>
  <c r="I56" i="2" a="1"/>
  <c r="I56" i="2" s="1"/>
  <c r="H55" i="2"/>
  <c r="I54" i="2" a="1"/>
  <c r="I54" i="2" s="1"/>
  <c r="H54" i="2"/>
  <c r="H59" i="2"/>
  <c r="I58" i="2" a="1"/>
  <c r="I58" i="2" s="1"/>
  <c r="H56" i="2"/>
  <c r="I55" i="2" a="1"/>
  <c r="I55" i="2" s="1"/>
  <c r="I60" i="2" a="1"/>
  <c r="I60" i="2" s="1"/>
  <c r="H60" i="2"/>
  <c r="I59" i="2" a="1"/>
  <c r="I59" i="2" s="1"/>
  <c r="H53" i="2"/>
  <c r="I52" i="2" a="1"/>
  <c r="I52" i="2" s="1"/>
  <c r="I53" i="2" a="1"/>
  <c r="I53" i="2" s="1"/>
  <c r="D53" i="5" s="1" a="1"/>
  <c r="D53" i="5" s="1"/>
  <c r="A58" i="5"/>
  <c r="A59" i="5"/>
  <c r="A60" i="5"/>
  <c r="A53" i="5"/>
  <c r="A54" i="5"/>
  <c r="A55" i="5"/>
  <c r="A56" i="5"/>
  <c r="A57" i="5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60" i="5" l="1" a="1"/>
  <c r="D60" i="5" s="1"/>
  <c r="D57" i="5" a="1"/>
  <c r="D57" i="5" s="1"/>
  <c r="D59" i="5" a="1"/>
  <c r="D59" i="5" s="1"/>
  <c r="D58" i="5" a="1"/>
  <c r="D58" i="5" s="1"/>
  <c r="D51" i="5" a="1"/>
  <c r="D51" i="5" s="1"/>
  <c r="D54" i="5" a="1"/>
  <c r="D54" i="5" s="1"/>
  <c r="D55" i="5" a="1"/>
  <c r="D55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AQ5" i="4"/>
  <c r="AT4" i="4" a="1"/>
  <c r="AT4" i="4" s="1"/>
  <c r="AS6" i="1" s="1" a="1"/>
  <c r="AS6" i="1" s="1"/>
  <c r="R6" i="1" a="1"/>
  <c r="R6" i="1" s="1"/>
  <c r="H6" i="1" a="1"/>
  <c r="H6" i="1" s="1"/>
  <c r="E6" i="1" l="1" a="1"/>
  <c r="E6" i="1" s="1"/>
  <c r="D7" i="1" a="1"/>
  <c r="D7" i="1" s="1"/>
  <c r="M7" i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O42" i="1" l="1" a="1"/>
  <c r="O42" i="1" s="1"/>
  <c r="N43" i="1" a="1"/>
  <c r="N43" i="1" s="1"/>
  <c r="I41" i="1" a="1"/>
  <c r="I41" i="1" s="1"/>
  <c r="AQ41" i="1" a="1"/>
  <c r="AQ41" i="1" s="1"/>
  <c r="AG40" i="1" a="1"/>
  <c r="AG40" i="1" s="1"/>
  <c r="D42" i="1" a="1"/>
  <c r="D42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37" i="5"/>
  <c r="G80" i="5"/>
  <c r="G72" i="5"/>
  <c r="G21" i="5"/>
  <c r="G49" i="5"/>
  <c r="G45" i="5"/>
  <c r="G79" i="5"/>
  <c r="G26" i="5"/>
  <c r="G56" i="5"/>
  <c r="G90" i="5"/>
  <c r="G47" i="5"/>
  <c r="G19" i="5"/>
  <c r="G30" i="5"/>
  <c r="G95" i="5"/>
  <c r="G63" i="5"/>
  <c r="G92" i="5"/>
  <c r="G20" i="5"/>
  <c r="G24" i="5"/>
  <c r="G65" i="5"/>
  <c r="G69" i="5"/>
  <c r="G60" i="5"/>
  <c r="G77" i="5"/>
  <c r="G93" i="5"/>
  <c r="G25" i="5"/>
  <c r="G4" i="5"/>
  <c r="G41" i="5"/>
  <c r="G13" i="5"/>
  <c r="G55" i="5"/>
  <c r="G86" i="5"/>
  <c r="G75" i="5"/>
  <c r="G50" i="5"/>
  <c r="G32" i="5"/>
  <c r="G6" i="5"/>
  <c r="G27" i="5"/>
  <c r="G23" i="5"/>
  <c r="G52" i="5"/>
  <c r="G85" i="5"/>
  <c r="G58" i="5"/>
  <c r="G71" i="5"/>
  <c r="G51" i="5"/>
  <c r="G11" i="5"/>
  <c r="G59" i="5"/>
  <c r="G62" i="5"/>
  <c r="G98" i="5"/>
  <c r="G7" i="5"/>
  <c r="G48" i="5"/>
  <c r="G36" i="5"/>
  <c r="G70" i="5"/>
  <c r="G97" i="5"/>
  <c r="G91" i="5"/>
  <c r="G10" i="5"/>
  <c r="G31" i="5"/>
  <c r="G99" i="5"/>
  <c r="G40" i="5"/>
  <c r="G33" i="5"/>
  <c r="G14" i="5"/>
  <c r="G17" i="5"/>
  <c r="G18" i="5"/>
  <c r="G78" i="5"/>
  <c r="G53" i="5"/>
  <c r="G64" i="5"/>
  <c r="G2" i="5"/>
  <c r="G76" i="5"/>
  <c r="G44" i="5"/>
  <c r="G39" i="5"/>
  <c r="G15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G100" i="5"/>
  <c r="G66" i="5"/>
  <c r="M93" i="5"/>
  <c r="E50" i="5"/>
  <c r="M41" i="5"/>
  <c r="M19" i="5"/>
  <c r="E46" i="5"/>
  <c r="G3" i="5"/>
  <c r="G43" i="5"/>
  <c r="N45" i="5"/>
  <c r="G94" i="5"/>
  <c r="E16" i="5"/>
  <c r="E53" i="5"/>
  <c r="G12" i="5"/>
  <c r="N66" i="5"/>
  <c r="E75" i="5"/>
  <c r="E100" i="5"/>
  <c r="E47" i="5"/>
  <c r="M66" i="5"/>
  <c r="G16" i="5"/>
  <c r="G88" i="5"/>
  <c r="N44" i="5"/>
  <c r="G82" i="5"/>
  <c r="G73" i="5"/>
  <c r="E51" i="5"/>
  <c r="E84" i="5"/>
  <c r="M42" i="5"/>
  <c r="G81" i="5"/>
  <c r="M99" i="5"/>
  <c r="M17" i="5"/>
  <c r="E15" i="5"/>
  <c r="N31" i="5"/>
  <c r="N42" i="5"/>
  <c r="G74" i="5"/>
  <c r="E8" i="5"/>
  <c r="M78" i="5"/>
  <c r="G29" i="5"/>
  <c r="G68" i="5"/>
  <c r="G8" i="5"/>
  <c r="G87" i="5"/>
  <c r="M61" i="5"/>
  <c r="M87" i="5"/>
  <c r="N53" i="5"/>
  <c r="E83" i="5"/>
  <c r="N41" i="5"/>
  <c r="N78" i="5"/>
  <c r="E71" i="5"/>
  <c r="G89" i="5"/>
  <c r="G84" i="5"/>
  <c r="M73" i="5"/>
  <c r="M5" i="5"/>
  <c r="E6" i="5"/>
  <c r="G57" i="5"/>
  <c r="G42" i="5"/>
  <c r="G67" i="5"/>
  <c r="G5" i="5"/>
  <c r="G54" i="5"/>
  <c r="E99" i="5"/>
  <c r="M24" i="5"/>
  <c r="M62" i="5"/>
  <c r="G46" i="5"/>
  <c r="G28" i="5"/>
  <c r="G38" i="5"/>
  <c r="G34" i="5"/>
  <c r="G96" i="5"/>
  <c r="N58" i="5"/>
  <c r="M100" i="5"/>
  <c r="E70" i="5"/>
  <c r="G9" i="5"/>
  <c r="G22" i="5"/>
  <c r="G83" i="5"/>
  <c r="N35" i="5"/>
  <c r="N23" i="5"/>
  <c r="G35" i="5"/>
  <c r="G101" i="5"/>
  <c r="N74" i="5"/>
  <c r="M11" i="5"/>
  <c r="G61" i="5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M49" i="5"/>
  <c r="E7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M45" i="5"/>
  <c r="N4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N73" i="5"/>
  <c r="E11" i="5"/>
  <c r="M52" i="5"/>
  <c r="E82" i="5"/>
  <c r="M30" i="5"/>
  <c r="J15" i="5"/>
  <c r="L86" i="5"/>
  <c r="L24" i="5"/>
  <c r="E22" i="5"/>
  <c r="N49" i="5"/>
  <c r="J47" i="5"/>
  <c r="N60" i="5"/>
  <c r="E2" i="5"/>
  <c r="J94" i="5"/>
  <c r="N84" i="5"/>
  <c r="M94" i="5"/>
  <c r="N89" i="5"/>
  <c r="E56" i="5"/>
  <c r="N7" i="5"/>
  <c r="L82" i="5"/>
  <c r="L94" i="5"/>
  <c r="L64" i="5"/>
  <c r="E13" i="5"/>
  <c r="M57" i="5"/>
  <c r="L89" i="5"/>
  <c r="M89" i="5"/>
  <c r="E20" i="5"/>
  <c r="J58" i="5"/>
  <c r="N51" i="5"/>
  <c r="J91" i="5"/>
  <c r="J80" i="5"/>
  <c r="N2" i="5"/>
  <c r="E63" i="5"/>
  <c r="M71" i="5"/>
  <c r="M39" i="5"/>
  <c r="M48" i="5"/>
  <c r="J11" i="5"/>
  <c r="L74" i="5"/>
  <c r="J81" i="5"/>
  <c r="E40" i="5"/>
  <c r="N81" i="5"/>
  <c r="L98" i="5"/>
  <c r="M6" i="5"/>
  <c r="E37" i="5"/>
  <c r="J70" i="5"/>
  <c r="E30" i="5"/>
  <c r="M40" i="5"/>
  <c r="M36" i="5"/>
  <c r="J19" i="5"/>
  <c r="E78" i="5"/>
  <c r="E60" i="5"/>
  <c r="E73" i="5"/>
  <c r="N64" i="5"/>
  <c r="N3" i="5"/>
  <c r="N71" i="5"/>
  <c r="L16" i="5"/>
  <c r="J12" i="5"/>
  <c r="M34" i="5"/>
  <c r="N70" i="5"/>
  <c r="N33" i="5"/>
  <c r="L92" i="5"/>
  <c r="M82" i="5"/>
  <c r="M16" i="5"/>
  <c r="M64" i="5"/>
  <c r="M13" i="5"/>
  <c r="N72" i="5"/>
  <c r="E94" i="5"/>
  <c r="J84" i="5"/>
  <c r="L50" i="5"/>
  <c r="N24" i="5"/>
  <c r="N38" i="5"/>
  <c r="N20" i="5"/>
  <c r="N54" i="5"/>
  <c r="M85" i="5"/>
  <c r="N98" i="5"/>
  <c r="L49" i="5"/>
  <c r="N39" i="5"/>
  <c r="M51" i="5"/>
  <c r="E62" i="5"/>
  <c r="E24" i="5"/>
  <c r="M70" i="5"/>
  <c r="J37" i="5"/>
  <c r="J95" i="5"/>
  <c r="E89" i="5"/>
  <c r="E14" i="5"/>
  <c r="N63" i="5"/>
  <c r="M72" i="5"/>
  <c r="E65" i="5"/>
  <c r="E5" i="5"/>
  <c r="L85" i="5"/>
  <c r="M77" i="5"/>
  <c r="J36" i="5"/>
  <c r="E88" i="5"/>
  <c r="E4" i="5"/>
  <c r="N29" i="5"/>
  <c r="N75" i="5"/>
  <c r="N93" i="5"/>
  <c r="M15" i="5"/>
  <c r="N43" i="5"/>
  <c r="E18" i="5"/>
  <c r="L7" i="5"/>
  <c r="L44" i="5"/>
  <c r="N92" i="5"/>
  <c r="N90" i="5"/>
  <c r="L55" i="5"/>
  <c r="M97" i="5"/>
  <c r="N95" i="5"/>
  <c r="L80" i="5"/>
  <c r="M27" i="5"/>
  <c r="J45" i="5"/>
  <c r="J44" i="5"/>
  <c r="M33" i="5"/>
  <c r="N61" i="5"/>
  <c r="M14" i="5"/>
  <c r="M75" i="5"/>
  <c r="E92" i="5"/>
  <c r="E58" i="5"/>
  <c r="E9" i="5"/>
  <c r="L90" i="5"/>
  <c r="L25" i="5"/>
  <c r="E41" i="5"/>
  <c r="E81" i="5"/>
  <c r="L96" i="5"/>
  <c r="M84" i="5"/>
  <c r="N101" i="5"/>
  <c r="L56" i="5"/>
  <c r="N19" i="5"/>
  <c r="N11" i="5"/>
  <c r="J53" i="5"/>
  <c r="N37" i="5"/>
  <c r="N9" i="5"/>
  <c r="J25" i="5"/>
  <c r="M9" i="5"/>
  <c r="L58" i="5"/>
  <c r="N80" i="5"/>
  <c r="E91" i="5"/>
  <c r="N79" i="5"/>
  <c r="N26" i="5"/>
  <c r="E66" i="5"/>
  <c r="M59" i="5"/>
  <c r="E28" i="5"/>
  <c r="L17" i="5"/>
  <c r="E45" i="5"/>
  <c r="M95" i="5"/>
  <c r="E79" i="5"/>
  <c r="M60" i="5"/>
  <c r="N68" i="5"/>
  <c r="M3" i="5"/>
  <c r="L67" i="5"/>
  <c r="J29" i="5"/>
  <c r="M50" i="5"/>
  <c r="N100" i="5"/>
  <c r="J93" i="5"/>
  <c r="N14" i="5"/>
  <c r="M7" i="5"/>
  <c r="J79" i="5"/>
  <c r="E21" i="5"/>
  <c r="M98" i="5"/>
  <c r="L9" i="5"/>
  <c r="J59" i="5"/>
  <c r="M88" i="5"/>
  <c r="J72" i="5"/>
  <c r="M18" i="5"/>
  <c r="L76" i="5"/>
  <c r="L18" i="5"/>
  <c r="L33" i="5"/>
  <c r="L70" i="5"/>
  <c r="L38" i="5"/>
  <c r="L35" i="5"/>
  <c r="J78" i="5"/>
  <c r="M79" i="5"/>
  <c r="E42" i="5"/>
  <c r="E10" i="5"/>
  <c r="N40" i="5"/>
  <c r="N47" i="5"/>
  <c r="N83" i="5"/>
  <c r="M69" i="5"/>
  <c r="N50" i="5"/>
  <c r="N27" i="5"/>
  <c r="M23" i="5"/>
  <c r="N97" i="5"/>
  <c r="E64" i="5"/>
  <c r="M29" i="5"/>
  <c r="N5" i="5"/>
  <c r="N15" i="5"/>
  <c r="M21" i="5"/>
  <c r="M83" i="5"/>
  <c r="E80" i="5"/>
  <c r="J28" i="5"/>
  <c r="E86" i="5"/>
  <c r="J8" i="5"/>
  <c r="M44" i="5"/>
  <c r="J97" i="5"/>
  <c r="L42" i="5"/>
  <c r="M86" i="5"/>
  <c r="L59" i="5"/>
  <c r="M20" i="5"/>
  <c r="L31" i="5"/>
  <c r="N99" i="5"/>
  <c r="E67" i="5"/>
  <c r="E95" i="5"/>
  <c r="E61" i="5"/>
  <c r="E76" i="5"/>
  <c r="N22" i="5"/>
  <c r="L22" i="5"/>
  <c r="M53" i="5"/>
  <c r="E90" i="5"/>
  <c r="M81" i="5"/>
  <c r="M10" i="5"/>
  <c r="E39" i="5"/>
  <c r="M8" i="5"/>
  <c r="E26" i="5"/>
  <c r="M54" i="5"/>
  <c r="M63" i="5"/>
  <c r="L15" i="5"/>
  <c r="E52" i="5"/>
  <c r="L11" i="5"/>
  <c r="E59" i="5"/>
  <c r="N77" i="5"/>
  <c r="M90" i="5"/>
  <c r="N65" i="5"/>
  <c r="N59" i="5"/>
  <c r="L69" i="5"/>
  <c r="M56" i="5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S194" i="1" l="1" a="1"/>
  <c r="S194" i="1" s="1"/>
  <c r="R194" i="1" a="1"/>
  <c r="R194" i="1" s="1"/>
  <c r="R193" i="4"/>
  <c r="U192" i="4" a="1"/>
  <c r="U192" i="4" s="1"/>
  <c r="T194" i="1" s="1" a="1"/>
  <c r="T194" i="1" s="1"/>
  <c r="S195" i="1" l="1" a="1"/>
  <c r="S195" i="1" s="1"/>
  <c r="S193" i="4"/>
  <c r="T193" i="4" s="1" a="1"/>
  <c r="T193" i="4" s="1"/>
  <c r="R195" i="1" a="1"/>
  <c r="R195" i="1" s="1"/>
  <c r="I97" i="5"/>
  <c r="J77" i="5"/>
  <c r="E69" i="5"/>
  <c r="N30" i="5"/>
  <c r="K77" i="5"/>
  <c r="K28" i="5"/>
  <c r="N62" i="5"/>
  <c r="J67" i="5"/>
  <c r="K73" i="5"/>
  <c r="J16" i="5"/>
  <c r="E74" i="5"/>
  <c r="K69" i="5"/>
  <c r="M80" i="5"/>
  <c r="M55" i="5"/>
  <c r="L81" i="5"/>
  <c r="I42" i="5"/>
  <c r="L97" i="5"/>
  <c r="L41" i="5"/>
  <c r="N25" i="5"/>
  <c r="K61" i="5"/>
  <c r="L40" i="5"/>
  <c r="F26" i="5"/>
  <c r="I55" i="5"/>
  <c r="I12" i="5"/>
  <c r="I11" i="5"/>
  <c r="J42" i="5"/>
  <c r="F63" i="5"/>
  <c r="I32" i="5"/>
  <c r="K91" i="5"/>
  <c r="I66" i="5"/>
  <c r="I53" i="5"/>
  <c r="I85" i="5"/>
  <c r="I65" i="5"/>
  <c r="F56" i="5"/>
  <c r="E12" i="5"/>
  <c r="K48" i="5"/>
  <c r="K26" i="5"/>
  <c r="L28" i="5"/>
  <c r="K72" i="5"/>
  <c r="I31" i="5"/>
  <c r="L30" i="5"/>
  <c r="K78" i="5"/>
  <c r="I80" i="5"/>
  <c r="K43" i="5"/>
  <c r="E49" i="5"/>
  <c r="M4" i="5"/>
  <c r="J43" i="5"/>
  <c r="K97" i="5"/>
  <c r="N52" i="5"/>
  <c r="I45" i="5"/>
  <c r="N85" i="5"/>
  <c r="K75" i="5"/>
  <c r="J35" i="5"/>
  <c r="M37" i="5"/>
  <c r="E101" i="5"/>
  <c r="F68" i="5"/>
  <c r="I61" i="5"/>
  <c r="I96" i="5"/>
  <c r="F33" i="5"/>
  <c r="K54" i="5"/>
  <c r="F77" i="5"/>
  <c r="F47" i="5"/>
  <c r="I21" i="5"/>
  <c r="L20" i="5"/>
  <c r="J73" i="5"/>
  <c r="E17" i="5"/>
  <c r="J26" i="5"/>
  <c r="I27" i="5"/>
  <c r="I68" i="5"/>
  <c r="J100" i="5"/>
  <c r="K31" i="5"/>
  <c r="M68" i="5"/>
  <c r="N13" i="5"/>
  <c r="J62" i="5"/>
  <c r="L2" i="5"/>
  <c r="L39" i="5"/>
  <c r="N91" i="5"/>
  <c r="K24" i="5"/>
  <c r="N55" i="5"/>
  <c r="K25" i="5"/>
  <c r="E43" i="5"/>
  <c r="M32" i="5"/>
  <c r="J4" i="5"/>
  <c r="K76" i="5"/>
  <c r="F51" i="5"/>
  <c r="I71" i="5"/>
  <c r="I99" i="5"/>
  <c r="F61" i="5"/>
  <c r="N32" i="5"/>
  <c r="N6" i="5"/>
  <c r="L71" i="5"/>
  <c r="L77" i="5"/>
  <c r="L36" i="5"/>
  <c r="K38" i="5"/>
  <c r="I17" i="5"/>
  <c r="M46" i="5"/>
  <c r="K4" i="5"/>
  <c r="I74" i="5"/>
  <c r="L26" i="5"/>
  <c r="L12" i="5"/>
  <c r="K95" i="5"/>
  <c r="L29" i="5"/>
  <c r="K2" i="5"/>
  <c r="J3" i="5"/>
  <c r="K94" i="5"/>
  <c r="L99" i="5"/>
  <c r="E68" i="5"/>
  <c r="J6" i="5"/>
  <c r="K87" i="5"/>
  <c r="J51" i="5"/>
  <c r="N34" i="5"/>
  <c r="F41" i="5"/>
  <c r="I83" i="5"/>
  <c r="I51" i="5"/>
  <c r="F40" i="5"/>
  <c r="L100" i="5"/>
  <c r="F87" i="5"/>
  <c r="F64" i="5"/>
  <c r="K65" i="5"/>
  <c r="F73" i="5"/>
  <c r="I22" i="5"/>
  <c r="I94" i="5"/>
  <c r="F88" i="5"/>
  <c r="F36" i="5"/>
  <c r="I19" i="5"/>
  <c r="J20" i="5"/>
  <c r="K64" i="5"/>
  <c r="K70" i="5"/>
  <c r="E35" i="5"/>
  <c r="K45" i="5"/>
  <c r="I60" i="5"/>
  <c r="L32" i="5"/>
  <c r="N48" i="5"/>
  <c r="I46" i="5"/>
  <c r="J64" i="5"/>
  <c r="J98" i="5"/>
  <c r="E54" i="5"/>
  <c r="K32" i="5"/>
  <c r="E77" i="5"/>
  <c r="N56" i="5"/>
  <c r="E31" i="5"/>
  <c r="J31" i="5"/>
  <c r="L83" i="5"/>
  <c r="E36" i="5"/>
  <c r="M74" i="5"/>
  <c r="K44" i="5"/>
  <c r="N69" i="5"/>
  <c r="F21" i="5"/>
  <c r="I2" i="5"/>
  <c r="F74" i="5"/>
  <c r="F90" i="5"/>
  <c r="K13" i="5"/>
  <c r="F81" i="5"/>
  <c r="F49" i="5"/>
  <c r="M96" i="5"/>
  <c r="F8" i="5"/>
  <c r="I35" i="5"/>
  <c r="I72" i="5"/>
  <c r="F13" i="5"/>
  <c r="I93" i="5"/>
  <c r="E55" i="5"/>
  <c r="J68" i="5"/>
  <c r="K100" i="5"/>
  <c r="K60" i="5"/>
  <c r="I101" i="5"/>
  <c r="M2" i="5"/>
  <c r="J66" i="5"/>
  <c r="J99" i="5"/>
  <c r="M22" i="5"/>
  <c r="N76" i="5"/>
  <c r="K66" i="5"/>
  <c r="N10" i="5"/>
  <c r="K81" i="5"/>
  <c r="J38" i="5"/>
  <c r="K86" i="5"/>
  <c r="L6" i="5"/>
  <c r="K5" i="5"/>
  <c r="L21" i="5"/>
  <c r="K19" i="5"/>
  <c r="J23" i="5"/>
  <c r="K74" i="5"/>
  <c r="J86" i="5"/>
  <c r="F69" i="5"/>
  <c r="F52" i="5"/>
  <c r="F95" i="5"/>
  <c r="F98" i="5"/>
  <c r="I98" i="5"/>
  <c r="F83" i="5"/>
  <c r="F91" i="5"/>
  <c r="I13" i="5"/>
  <c r="F89" i="5"/>
  <c r="I87" i="5"/>
  <c r="I20" i="5"/>
  <c r="F76" i="5"/>
  <c r="F39" i="5"/>
  <c r="K16" i="5"/>
  <c r="E85" i="5"/>
  <c r="J39" i="5"/>
  <c r="K90" i="5"/>
  <c r="N67" i="5"/>
  <c r="E27" i="5"/>
  <c r="K11" i="5"/>
  <c r="M43" i="5"/>
  <c r="L87" i="5"/>
  <c r="J90" i="5"/>
  <c r="M31" i="5"/>
  <c r="L88" i="5"/>
  <c r="I88" i="5"/>
  <c r="L60" i="5"/>
  <c r="I33" i="5"/>
  <c r="L43" i="5"/>
  <c r="E29" i="5"/>
  <c r="K84" i="5"/>
  <c r="M91" i="5"/>
  <c r="N18" i="5"/>
  <c r="I43" i="5"/>
  <c r="M12" i="5"/>
  <c r="F3" i="5"/>
  <c r="F96" i="5"/>
  <c r="F50" i="5"/>
  <c r="F16" i="5"/>
  <c r="I6" i="5"/>
  <c r="F14" i="5"/>
  <c r="F23" i="5"/>
  <c r="E34" i="5"/>
  <c r="F11" i="5"/>
  <c r="I70" i="5"/>
  <c r="F60" i="5"/>
  <c r="F28" i="5"/>
  <c r="F78" i="5"/>
  <c r="J40" i="5"/>
  <c r="K55" i="5"/>
  <c r="L19" i="5"/>
  <c r="I26" i="5"/>
  <c r="J61" i="5"/>
  <c r="J60" i="5"/>
  <c r="L27" i="5"/>
  <c r="L46" i="5"/>
  <c r="J46" i="5"/>
  <c r="M35" i="5"/>
  <c r="L62" i="5"/>
  <c r="K22" i="5"/>
  <c r="I18" i="5"/>
  <c r="K17" i="5"/>
  <c r="N21" i="5"/>
  <c r="K10" i="5"/>
  <c r="J13" i="5"/>
  <c r="E57" i="5"/>
  <c r="J87" i="5"/>
  <c r="K52" i="5"/>
  <c r="I29" i="5"/>
  <c r="L68" i="5"/>
  <c r="F93" i="5"/>
  <c r="F54" i="5"/>
  <c r="F32" i="5"/>
  <c r="J2" i="5"/>
  <c r="I5" i="5"/>
  <c r="F24" i="5"/>
  <c r="F79" i="5"/>
  <c r="J57" i="5"/>
  <c r="F57" i="5"/>
  <c r="F10" i="5"/>
  <c r="F46" i="5"/>
  <c r="I25" i="5"/>
  <c r="J34" i="5"/>
  <c r="K46" i="5"/>
  <c r="K71" i="5"/>
  <c r="I82" i="5"/>
  <c r="E44" i="5"/>
  <c r="K49" i="5"/>
  <c r="L73" i="5"/>
  <c r="J30" i="5"/>
  <c r="E33" i="5"/>
  <c r="K88" i="5"/>
  <c r="N88" i="5"/>
  <c r="K21" i="5"/>
  <c r="I16" i="5"/>
  <c r="I86" i="5"/>
  <c r="L8" i="5"/>
  <c r="E38" i="5"/>
  <c r="J82" i="5"/>
  <c r="J32" i="5"/>
  <c r="M26" i="5"/>
  <c r="K92" i="5"/>
  <c r="I89" i="5"/>
  <c r="K57" i="5"/>
  <c r="F92" i="5"/>
  <c r="F100" i="5"/>
  <c r="F7" i="5"/>
  <c r="N16" i="5"/>
  <c r="I28" i="5"/>
  <c r="F25" i="5"/>
  <c r="I38" i="5"/>
  <c r="K51" i="5"/>
  <c r="F4" i="5"/>
  <c r="F20" i="5"/>
  <c r="F99" i="5"/>
  <c r="F34" i="5"/>
  <c r="I8" i="5"/>
  <c r="K33" i="5"/>
  <c r="L53" i="5"/>
  <c r="K29" i="5"/>
  <c r="E93" i="5"/>
  <c r="K40" i="5"/>
  <c r="J85" i="5"/>
  <c r="K96" i="5"/>
  <c r="K56" i="5"/>
  <c r="J101" i="5"/>
  <c r="N86" i="5"/>
  <c r="K3" i="5"/>
  <c r="I67" i="5"/>
  <c r="N94" i="5"/>
  <c r="I14" i="5"/>
  <c r="L37" i="5"/>
  <c r="L57" i="5"/>
  <c r="K36" i="5"/>
  <c r="J17" i="5"/>
  <c r="K8" i="5"/>
  <c r="I92" i="5"/>
  <c r="I56" i="5"/>
  <c r="I10" i="5"/>
  <c r="F48" i="5"/>
  <c r="F59" i="5"/>
  <c r="F9" i="5"/>
  <c r="K9" i="5"/>
  <c r="I57" i="5"/>
  <c r="F5" i="5"/>
  <c r="I23" i="5"/>
  <c r="J55" i="5"/>
  <c r="F55" i="5"/>
  <c r="F65" i="5"/>
  <c r="F43" i="5"/>
  <c r="F45" i="5"/>
  <c r="F12" i="5"/>
  <c r="F2" i="5"/>
  <c r="K47" i="5"/>
  <c r="J21" i="5"/>
  <c r="I59" i="5"/>
  <c r="J89" i="5"/>
  <c r="J24" i="5"/>
  <c r="J5" i="5"/>
  <c r="K63" i="5"/>
  <c r="N12" i="5"/>
  <c r="J88" i="5"/>
  <c r="L65" i="5"/>
  <c r="K15" i="5"/>
  <c r="L61" i="5"/>
  <c r="L14" i="5"/>
  <c r="M25" i="5"/>
  <c r="K18" i="5"/>
  <c r="L75" i="5"/>
  <c r="E19" i="5"/>
  <c r="K82" i="5"/>
  <c r="K7" i="5"/>
  <c r="J52" i="5"/>
  <c r="I30" i="5"/>
  <c r="I15" i="5"/>
  <c r="F42" i="5"/>
  <c r="F84" i="5"/>
  <c r="F17" i="5"/>
  <c r="I24" i="5"/>
  <c r="I48" i="5"/>
  <c r="I50" i="5"/>
  <c r="I84" i="5"/>
  <c r="J33" i="5"/>
  <c r="F30" i="5"/>
  <c r="F101" i="5"/>
  <c r="F85" i="5"/>
  <c r="I34" i="5"/>
  <c r="L79" i="5"/>
  <c r="K23" i="5"/>
  <c r="E97" i="5"/>
  <c r="M38" i="5"/>
  <c r="J27" i="5"/>
  <c r="K30" i="5"/>
  <c r="L48" i="5"/>
  <c r="E48" i="5"/>
  <c r="K98" i="5"/>
  <c r="E3" i="5"/>
  <c r="I3" i="5"/>
  <c r="J49" i="5"/>
  <c r="J50" i="5"/>
  <c r="J48" i="5"/>
  <c r="M58" i="5"/>
  <c r="K53" i="5"/>
  <c r="L10" i="5"/>
  <c r="I44" i="5"/>
  <c r="I58" i="5"/>
  <c r="L72" i="5"/>
  <c r="M76" i="5"/>
  <c r="I47" i="5"/>
  <c r="F18" i="5"/>
  <c r="F72" i="5"/>
  <c r="F62" i="5"/>
  <c r="J92" i="5"/>
  <c r="F27" i="5"/>
  <c r="I78" i="5"/>
  <c r="F31" i="5"/>
  <c r="K39" i="5"/>
  <c r="F80" i="5"/>
  <c r="F82" i="5"/>
  <c r="F97" i="5"/>
  <c r="L91" i="5"/>
  <c r="K12" i="5"/>
  <c r="L93" i="5"/>
  <c r="E98" i="5"/>
  <c r="K83" i="5"/>
  <c r="K68" i="5"/>
  <c r="L63" i="5"/>
  <c r="J96" i="5"/>
  <c r="N96" i="5"/>
  <c r="K6" i="5"/>
  <c r="I54" i="5"/>
  <c r="L84" i="5"/>
  <c r="N17" i="5"/>
  <c r="E87" i="5"/>
  <c r="L101" i="5"/>
  <c r="J54" i="5"/>
  <c r="L52" i="5"/>
  <c r="I36" i="5"/>
  <c r="I77" i="5"/>
  <c r="K80" i="5"/>
  <c r="K67" i="5"/>
  <c r="I81" i="5"/>
  <c r="F67" i="5"/>
  <c r="F94" i="5"/>
  <c r="F70" i="5"/>
  <c r="E25" i="5"/>
  <c r="F58" i="5"/>
  <c r="I95" i="5"/>
  <c r="F71" i="5"/>
  <c r="I7" i="5"/>
  <c r="F19" i="5"/>
  <c r="F37" i="5"/>
  <c r="M65" i="5"/>
  <c r="K85" i="5"/>
  <c r="I100" i="5"/>
  <c r="N82" i="5"/>
  <c r="J7" i="5"/>
  <c r="K20" i="5"/>
  <c r="L47" i="5"/>
  <c r="K35" i="5"/>
  <c r="K79" i="5"/>
  <c r="L54" i="5"/>
  <c r="K14" i="5"/>
  <c r="J10" i="5"/>
  <c r="M47" i="5"/>
  <c r="L5" i="5"/>
  <c r="K62" i="5"/>
  <c r="M92" i="5"/>
  <c r="J18" i="5"/>
  <c r="K89" i="5"/>
  <c r="I52" i="5"/>
  <c r="J65" i="5"/>
  <c r="E23" i="5"/>
  <c r="J74" i="5"/>
  <c r="I62" i="5"/>
  <c r="F38" i="5"/>
  <c r="I37" i="5"/>
  <c r="F22" i="5"/>
  <c r="L3" i="5"/>
  <c r="F44" i="5"/>
  <c r="I91" i="5"/>
  <c r="F53" i="5"/>
  <c r="K42" i="5"/>
  <c r="N8" i="5"/>
  <c r="N28" i="5"/>
  <c r="L51" i="5"/>
  <c r="J22" i="5"/>
  <c r="L45" i="5"/>
  <c r="K27" i="5"/>
  <c r="N57" i="5"/>
  <c r="J41" i="5"/>
  <c r="N87" i="5"/>
  <c r="L23" i="5"/>
  <c r="J69" i="5"/>
  <c r="M28" i="5"/>
  <c r="M101" i="5"/>
  <c r="K37" i="5"/>
  <c r="J56" i="5"/>
  <c r="I69" i="5"/>
  <c r="N36" i="5"/>
  <c r="L4" i="5"/>
  <c r="L66" i="5"/>
  <c r="I39" i="5"/>
  <c r="I41" i="5"/>
  <c r="I9" i="5"/>
  <c r="I4" i="5"/>
  <c r="F6" i="5"/>
  <c r="K93" i="5"/>
  <c r="F15" i="5"/>
  <c r="I49" i="5"/>
  <c r="J76" i="5"/>
  <c r="F86" i="5"/>
  <c r="I64" i="5"/>
  <c r="E96" i="5"/>
  <c r="J63" i="5"/>
  <c r="K41" i="5"/>
  <c r="J75" i="5"/>
  <c r="K50" i="5"/>
  <c r="I79" i="5"/>
  <c r="N46" i="5"/>
  <c r="K58" i="5"/>
  <c r="J71" i="5"/>
  <c r="K99" i="5"/>
  <c r="L13" i="5"/>
  <c r="K59" i="5"/>
  <c r="J14" i="5"/>
  <c r="M67" i="5"/>
  <c r="K101" i="5"/>
  <c r="E32" i="5"/>
  <c r="L78" i="5"/>
  <c r="K34" i="5"/>
  <c r="J83" i="5"/>
  <c r="L34" i="5"/>
  <c r="F35" i="5"/>
  <c r="I76" i="5"/>
  <c r="I75" i="5"/>
  <c r="I90" i="5"/>
  <c r="L95" i="5"/>
  <c r="F29" i="5"/>
  <c r="I63" i="5"/>
  <c r="J9" i="5"/>
  <c r="I73" i="5"/>
  <c r="F66" i="5"/>
  <c r="I40" i="5"/>
  <c r="F75" i="5"/>
  <c r="E72" i="5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97" i="5"/>
  <c r="H16" i="5"/>
  <c r="H35" i="5"/>
  <c r="H69" i="5"/>
  <c r="H94" i="5"/>
  <c r="H42" i="5"/>
  <c r="H63" i="5"/>
  <c r="H96" i="5"/>
  <c r="H83" i="5"/>
  <c r="H53" i="5"/>
  <c r="H2" i="5"/>
  <c r="H14" i="5"/>
  <c r="H98" i="5"/>
  <c r="H12" i="5"/>
  <c r="H68" i="5"/>
  <c r="H67" i="5"/>
  <c r="H87" i="5"/>
  <c r="H89" i="5"/>
  <c r="H80" i="5"/>
  <c r="H18" i="5"/>
  <c r="H57" i="5"/>
  <c r="H49" i="5"/>
  <c r="H25" i="5"/>
  <c r="H73" i="5"/>
  <c r="H78" i="5"/>
  <c r="H64" i="5"/>
  <c r="H81" i="5"/>
  <c r="H19" i="5"/>
  <c r="H37" i="5"/>
  <c r="H43" i="5"/>
  <c r="H23" i="5"/>
  <c r="H72" i="5"/>
  <c r="H39" i="5"/>
  <c r="H27" i="5"/>
  <c r="H82" i="5"/>
  <c r="H99" i="5"/>
  <c r="H5" i="5"/>
  <c r="H84" i="5"/>
  <c r="H17" i="5"/>
  <c r="H8" i="5"/>
  <c r="H45" i="5"/>
  <c r="H9" i="5"/>
  <c r="H34" i="5"/>
  <c r="H61" i="5"/>
  <c r="H11" i="5"/>
  <c r="H90" i="5"/>
  <c r="H101" i="5"/>
  <c r="H50" i="5"/>
  <c r="H79" i="5"/>
  <c r="H52" i="5"/>
  <c r="H91" i="5"/>
  <c r="H26" i="5"/>
  <c r="H65" i="5"/>
  <c r="H55" i="5"/>
  <c r="H13" i="5"/>
  <c r="H85" i="5"/>
  <c r="H76" i="5"/>
  <c r="H10" i="5"/>
  <c r="H40" i="5"/>
  <c r="H44" i="5"/>
  <c r="H30" i="5"/>
  <c r="H71" i="5"/>
  <c r="H48" i="5"/>
  <c r="H20" i="5"/>
  <c r="H74" i="5"/>
  <c r="H4" i="5"/>
  <c r="H100" i="5"/>
  <c r="H36" i="5"/>
  <c r="H22" i="5"/>
  <c r="H58" i="5"/>
  <c r="H47" i="5"/>
  <c r="H88" i="5"/>
  <c r="H56" i="5"/>
  <c r="H92" i="5"/>
  <c r="H77" i="5"/>
  <c r="H41" i="5"/>
  <c r="H24" i="5"/>
  <c r="H66" i="5"/>
  <c r="H51" i="5"/>
  <c r="H62" i="5"/>
  <c r="H59" i="5"/>
  <c r="H54" i="5"/>
  <c r="H70" i="5"/>
  <c r="H3" i="5"/>
  <c r="H7" i="5"/>
  <c r="H86" i="5"/>
  <c r="H75" i="5"/>
  <c r="H15" i="5"/>
  <c r="H6" i="5"/>
  <c r="H31" i="5"/>
  <c r="H29" i="5"/>
  <c r="H60" i="5"/>
  <c r="H21" i="5"/>
  <c r="H38" i="5"/>
  <c r="H32" i="5"/>
  <c r="H33" i="5"/>
  <c r="H95" i="5"/>
  <c r="H46" i="5"/>
  <c r="H28" i="5"/>
  <c r="H93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5" i="2" s="1" a="1"/>
  <c r="K85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1" i="2" s="1" a="1"/>
  <c r="K61" i="2" s="1"/>
  <c r="O2" i="5"/>
  <c r="P2" i="5" s="1" a="1"/>
  <c r="P2" i="5" s="1"/>
  <c r="K2" i="2" s="1" a="1"/>
  <c r="K2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74" i="5"/>
  <c r="P74" i="5" s="1" a="1"/>
  <c r="P74" i="5" s="1"/>
  <c r="K74" i="2" s="1" a="1"/>
  <c r="K74" i="2" s="1"/>
  <c r="O89" i="5"/>
  <c r="P89" i="5" s="1" a="1"/>
  <c r="P89" i="5" s="1"/>
  <c r="K89" i="2" s="1" a="1"/>
  <c r="K89" i="2" s="1"/>
  <c r="O101" i="5"/>
  <c r="P101" i="5" s="1" a="1"/>
  <c r="P101" i="5" s="1"/>
  <c r="K101" i="2" s="1" a="1"/>
  <c r="K101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46" i="5"/>
  <c r="P46" i="5" s="1" a="1"/>
  <c r="P46" i="5" s="1"/>
  <c r="K46" i="2" s="1" a="1"/>
  <c r="K46" i="2" s="1"/>
  <c r="O84" i="5"/>
  <c r="P84" i="5" s="1" a="1"/>
  <c r="P84" i="5" s="1"/>
  <c r="K84" i="2" s="1" a="1"/>
  <c r="K84" i="2" s="1"/>
  <c r="O65" i="5"/>
  <c r="P65" i="5" s="1" a="1"/>
  <c r="P65" i="5" s="1"/>
  <c r="K65" i="2" s="1" a="1"/>
  <c r="K65" i="2" s="1"/>
  <c r="O47" i="5"/>
  <c r="P47" i="5" s="1" a="1"/>
  <c r="P47" i="5" s="1"/>
  <c r="K47" i="2" s="1" a="1"/>
  <c r="K47" i="2" s="1"/>
  <c r="O98" i="5"/>
  <c r="P98" i="5" s="1" a="1"/>
  <c r="P98" i="5" s="1"/>
  <c r="K98" i="2" s="1" a="1"/>
  <c r="K98" i="2" s="1"/>
  <c r="O72" i="5"/>
  <c r="P72" i="5" s="1" a="1"/>
  <c r="P72" i="5" s="1"/>
  <c r="K72" i="2" s="1" a="1"/>
  <c r="K72" i="2" s="1"/>
  <c r="O6" i="5"/>
  <c r="P6" i="5" s="1" a="1"/>
  <c r="P6" i="5" s="1"/>
  <c r="K6" i="2" s="1" a="1"/>
  <c r="K6" i="2" s="1"/>
  <c r="O88" i="5"/>
  <c r="P88" i="5" s="1" a="1"/>
  <c r="P88" i="5" s="1"/>
  <c r="K88" i="2" s="1" a="1"/>
  <c r="K88" i="2" s="1"/>
  <c r="O9" i="5"/>
  <c r="P9" i="5" s="1" a="1"/>
  <c r="P9" i="5" s="1"/>
  <c r="K9" i="2" s="1" a="1"/>
  <c r="K9" i="2" s="1"/>
  <c r="O56" i="5"/>
  <c r="P56" i="5" s="1" a="1"/>
  <c r="P56" i="5" s="1"/>
  <c r="K56" i="2" s="1" a="1"/>
  <c r="K56" i="2" s="1"/>
  <c r="O48" i="5"/>
  <c r="P48" i="5" s="1" a="1"/>
  <c r="P48" i="5" s="1"/>
  <c r="K48" i="2" s="1" a="1"/>
  <c r="K48" i="2" s="1"/>
  <c r="O43" i="5"/>
  <c r="P43" i="5" s="1" a="1"/>
  <c r="P43" i="5" s="1"/>
  <c r="K43" i="2" s="1" a="1"/>
  <c r="K43" i="2" s="1"/>
  <c r="O59" i="5"/>
  <c r="P59" i="5" s="1" a="1"/>
  <c r="P59" i="5" s="1"/>
  <c r="K59" i="2" s="1" a="1"/>
  <c r="K59" i="2" s="1"/>
  <c r="O53" i="5"/>
  <c r="P53" i="5" s="1" a="1"/>
  <c r="P53" i="5" s="1"/>
  <c r="K53" i="2" s="1" a="1"/>
  <c r="K53" i="2" s="1"/>
  <c r="O99" i="5"/>
  <c r="P99" i="5" s="1" a="1"/>
  <c r="P99" i="5" s="1"/>
  <c r="K99" i="2" s="1" a="1"/>
  <c r="K99" i="2" s="1"/>
  <c r="O96" i="5"/>
  <c r="P96" i="5" s="1" a="1"/>
  <c r="P96" i="5" s="1"/>
  <c r="K96" i="2" s="1" a="1"/>
  <c r="K96" i="2" s="1"/>
  <c r="O83" i="5"/>
  <c r="P83" i="5" s="1" a="1"/>
  <c r="P83" i="5" s="1"/>
  <c r="K83" i="2" s="1" a="1"/>
  <c r="K83" i="2" s="1"/>
  <c r="O82" i="5"/>
  <c r="P82" i="5" s="1" a="1"/>
  <c r="P82" i="5" s="1"/>
  <c r="K82" i="2" s="1" a="1"/>
  <c r="K82" i="2" s="1"/>
  <c r="O62" i="5"/>
  <c r="P62" i="5" s="1" a="1"/>
  <c r="P62" i="5" s="1"/>
  <c r="K62" i="2" s="1" a="1"/>
  <c r="K62" i="2" s="1"/>
  <c r="O67" i="5"/>
  <c r="P67" i="5" s="1" a="1"/>
  <c r="P67" i="5" s="1"/>
  <c r="K67" i="2" s="1" a="1"/>
  <c r="K67" i="2" s="1"/>
  <c r="O17" i="5"/>
  <c r="P17" i="5" s="1" a="1"/>
  <c r="P17" i="5" s="1"/>
  <c r="K17" i="2" s="1" a="1"/>
  <c r="K17" i="2" s="1"/>
  <c r="O92" i="5"/>
  <c r="P92" i="5" s="1" a="1"/>
  <c r="P92" i="5" s="1"/>
  <c r="K92" i="2" s="1" a="1"/>
  <c r="K92" i="2" s="1"/>
  <c r="O77" i="5"/>
  <c r="P77" i="5" s="1" a="1"/>
  <c r="P77" i="5" s="1"/>
  <c r="K77" i="2" s="1" a="1"/>
  <c r="K77" i="2" s="1"/>
  <c r="O50" i="5"/>
  <c r="P50" i="5" s="1" a="1"/>
  <c r="P50" i="5" s="1"/>
  <c r="K50" i="2" s="1" a="1"/>
  <c r="K50" i="2" s="1"/>
  <c r="O7" i="5"/>
  <c r="P7" i="5" s="1" a="1"/>
  <c r="P7" i="5" s="1"/>
  <c r="K7" i="2" s="1" a="1"/>
  <c r="K7" i="2" s="1"/>
  <c r="O66" i="5"/>
  <c r="P66" i="5" s="1" a="1"/>
  <c r="P66" i="5" s="1"/>
  <c r="K66" i="2" s="1" a="1"/>
  <c r="K66" i="2" s="1"/>
  <c r="O91" i="5"/>
  <c r="P91" i="5" s="1" a="1"/>
  <c r="P91" i="5" s="1"/>
  <c r="K91" i="2" s="1" a="1"/>
  <c r="K91" i="2" s="1"/>
  <c r="O55" i="5"/>
  <c r="P55" i="5" s="1" a="1"/>
  <c r="P55" i="5" s="1"/>
  <c r="K55" i="2" s="1" a="1"/>
  <c r="K55" i="2" s="1"/>
  <c r="O42" i="5"/>
  <c r="P42" i="5" s="1" a="1"/>
  <c r="P42" i="5" s="1"/>
  <c r="K42" i="2" s="1" a="1"/>
  <c r="K42" i="2" s="1"/>
  <c r="O93" i="5"/>
  <c r="P93" i="5" s="1" a="1"/>
  <c r="P93" i="5" s="1"/>
  <c r="K93" i="2" s="1" a="1"/>
  <c r="K93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2" i="2" s="1" a="1"/>
  <c r="K52" i="2" s="1"/>
  <c r="O13" i="5"/>
  <c r="P13" i="5" s="1" a="1"/>
  <c r="P13" i="5" s="1"/>
  <c r="K13" i="2" s="1" a="1"/>
  <c r="K13" i="2" s="1"/>
  <c r="O78" i="5"/>
  <c r="P78" i="5" s="1" a="1"/>
  <c r="P78" i="5" s="1"/>
  <c r="K78" i="2" s="1" a="1"/>
  <c r="K78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70" i="5"/>
  <c r="P70" i="5" s="1" a="1"/>
  <c r="P70" i="5" s="1"/>
  <c r="K70" i="2" s="1" a="1"/>
  <c r="K70" i="2" s="1"/>
  <c r="O80" i="5"/>
  <c r="P80" i="5" s="1" a="1"/>
  <c r="P80" i="5" s="1"/>
  <c r="K80" i="2" s="1" a="1"/>
  <c r="K80" i="2" s="1"/>
  <c r="O94" i="5"/>
  <c r="P94" i="5" s="1" a="1"/>
  <c r="P94" i="5" s="1"/>
  <c r="K94" i="2" s="1" a="1"/>
  <c r="K94" i="2" s="1"/>
  <c r="O49" i="5"/>
  <c r="P49" i="5" s="1" a="1"/>
  <c r="P49" i="5" s="1"/>
  <c r="K49" i="2" s="1" a="1"/>
  <c r="K49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9" i="5"/>
  <c r="P79" i="5" s="1" a="1"/>
  <c r="P79" i="5" s="1"/>
  <c r="K79" i="2" s="1" a="1"/>
  <c r="K79" i="2" s="1"/>
  <c r="O54" i="5"/>
  <c r="P54" i="5" s="1" a="1"/>
  <c r="P54" i="5" s="1"/>
  <c r="K54" i="2" s="1" a="1"/>
  <c r="K54" i="2" s="1"/>
  <c r="O8" i="5"/>
  <c r="P8" i="5" s="1" a="1"/>
  <c r="P8" i="5" s="1"/>
  <c r="K8" i="2" s="1" a="1"/>
  <c r="K8" i="2" s="1"/>
  <c r="O68" i="5"/>
  <c r="P68" i="5" s="1" a="1"/>
  <c r="P68" i="5" s="1"/>
  <c r="K68" i="2" s="1" a="1"/>
  <c r="K68" i="2" s="1"/>
  <c r="O57" i="5"/>
  <c r="P57" i="5" s="1" a="1"/>
  <c r="P57" i="5" s="1"/>
  <c r="K57" i="2" s="1" a="1"/>
  <c r="K57" i="2" s="1"/>
  <c r="O11" i="5"/>
  <c r="P11" i="5" s="1" a="1"/>
  <c r="P11" i="5" s="1"/>
  <c r="K11" i="2" s="1" a="1"/>
  <c r="K11" i="2" s="1"/>
  <c r="O60" i="5"/>
  <c r="P60" i="5" s="1" a="1"/>
  <c r="P60" i="5" s="1"/>
  <c r="K60" i="2" s="1" a="1"/>
  <c r="K60" i="2" s="1"/>
  <c r="O69" i="5"/>
  <c r="P69" i="5" s="1" a="1"/>
  <c r="P69" i="5" s="1"/>
  <c r="K69" i="2" s="1" a="1"/>
  <c r="K69" i="2" s="1"/>
  <c r="O64" i="5"/>
  <c r="P64" i="5" s="1" a="1"/>
  <c r="P64" i="5" s="1"/>
  <c r="K64" i="2" s="1" a="1"/>
  <c r="K64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1" i="2" s="1" a="1"/>
  <c r="K51" i="2" s="1"/>
  <c r="O100" i="5"/>
  <c r="P100" i="5" s="1" a="1"/>
  <c r="P100" i="5" s="1"/>
  <c r="K100" i="2" s="1" a="1"/>
  <c r="K100" i="2" s="1"/>
  <c r="O90" i="5"/>
  <c r="P90" i="5" s="1" a="1"/>
  <c r="P90" i="5" s="1"/>
  <c r="K90" i="2" s="1" a="1"/>
  <c r="K90" i="2" s="1"/>
  <c r="O75" i="5"/>
  <c r="P75" i="5" s="1" a="1"/>
  <c r="P75" i="5" s="1"/>
  <c r="K75" i="2" s="1" a="1"/>
  <c r="K75" i="2" s="1"/>
  <c r="O16" i="5"/>
  <c r="P16" i="5" s="1" a="1"/>
  <c r="P16" i="5" s="1"/>
  <c r="K16" i="2" s="1" a="1"/>
  <c r="K16" i="2" s="1"/>
  <c r="O63" i="5"/>
  <c r="P63" i="5" s="1" a="1"/>
  <c r="P63" i="5" s="1"/>
  <c r="K63" i="2" s="1" a="1"/>
  <c r="K63" i="2" s="1"/>
  <c r="O58" i="5"/>
  <c r="P58" i="5" s="1" a="1"/>
  <c r="P58" i="5" s="1"/>
  <c r="K58" i="2" s="1" a="1"/>
  <c r="K58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K45" i="2" s="1" a="1"/>
  <c r="K45" i="2" s="1"/>
  <c r="O95" i="5"/>
  <c r="P95" i="5" s="1" a="1"/>
  <c r="P95" i="5" s="1"/>
  <c r="K95" i="2" s="1" a="1"/>
  <c r="K95" i="2" s="1"/>
  <c r="O71" i="5"/>
  <c r="P71" i="5" s="1" a="1"/>
  <c r="P71" i="5" s="1"/>
  <c r="K71" i="2" s="1" a="1"/>
  <c r="K71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<sst xmlns="http://schemas.openxmlformats.org/spreadsheetml/2006/main" count="394" uniqueCount="281">
  <si>
    <t>^</t>
  </si>
  <si>
    <t>KANBAN</t>
  </si>
  <si>
    <t>COMPLETADO</t>
  </si>
  <si>
    <t>NORMAL</t>
  </si>
  <si>
    <t>Elaboracion Introducción</t>
  </si>
  <si>
    <t>Redactar la sección inicial del proyecto, presentando el contexto y propósito general.</t>
  </si>
  <si>
    <t>Juan Socasi</t>
  </si>
  <si>
    <t>Planteamiento del problema</t>
  </si>
  <si>
    <t>Definir y describir claramente el problema que el proyecto busca resolver.</t>
  </si>
  <si>
    <t>Objetivos</t>
  </si>
  <si>
    <t>Establecer los objetivos generales y específicos del proyecto.</t>
  </si>
  <si>
    <t>Alcance</t>
  </si>
  <si>
    <t>Delimitar los límites del proyecto: qué incluye y qué excluye.</t>
  </si>
  <si>
    <t>Vicente Sanchez</t>
  </si>
  <si>
    <t>Metodologia</t>
  </si>
  <si>
    <t>Describir el enfoque, técnicas y herramientas a utilizar en el desarrollo.</t>
  </si>
  <si>
    <t>Ideas a Defender</t>
  </si>
  <si>
    <t>Enumerar las tesis o postulados clave que se defenderán a lo largo del proyecto.</t>
  </si>
  <si>
    <t>Resultados Esperados</t>
  </si>
  <si>
    <t>Definir los beneficios y productos concretos que se obtendrán al finalizar.</t>
  </si>
  <si>
    <t>Joel Tapia</t>
  </si>
  <si>
    <t>Viabilidad</t>
  </si>
  <si>
    <t>Analizar la factibilidad técnica, económica y operativa del proyecto.</t>
  </si>
  <si>
    <t>IMPORTANTE</t>
  </si>
  <si>
    <t>Elaborar Preguntas para la entrevistas</t>
  </si>
  <si>
    <t>Crear un cuestionario dirigido a los stakeholders para recopilar requisitos.</t>
  </si>
  <si>
    <t>Jonathan Rodriguez</t>
  </si>
  <si>
    <t>URGENTE</t>
  </si>
  <si>
    <t>Primera Reunion</t>
  </si>
  <si>
    <t>Sesión de trabajo con el administrador para validar necesidades y expectativas</t>
  </si>
  <si>
    <t>Tapia,Socasi,Sanchez, Tapia</t>
  </si>
  <si>
    <t xml:space="preserve">Revision del perfil del proyecto </t>
  </si>
  <si>
    <t>Revisar y ajustar el documento de perfil del proyecto antes de la defensa.</t>
  </si>
  <si>
    <t xml:space="preserve">Defensa del proyecto primer parcial </t>
  </si>
  <si>
    <t>Presentación y sustentación del avance del proyecto ante evaluadores.</t>
  </si>
  <si>
    <t xml:space="preserve">Elaborar la segundas preguntas para la entrevista </t>
  </si>
  <si>
    <t>Preparar una segunda ronda de preguntas para profundizar en requisitos.</t>
  </si>
  <si>
    <t xml:space="preserve">Segunda reunion  </t>
  </si>
  <si>
    <t>Segunda reunión con el administrador para presentar hallazgos iniciales.</t>
  </si>
  <si>
    <t>Elaboracion de Matriz de usuario_v1</t>
  </si>
  <si>
    <t>Construir una matriz que relacione actores, roles y necesidades del sistema.</t>
  </si>
  <si>
    <t>Revision de la Matriz de usuario</t>
  </si>
  <si>
    <t>Validar la matriz de usuarios para asegurar consistencia y completitud.</t>
  </si>
  <si>
    <t>Ing. Jenny Ruiz</t>
  </si>
  <si>
    <t>Elaboracion del Backblog_V1</t>
  </si>
  <si>
    <t xml:space="preserve">Crear el backlog inicial del producto </t>
  </si>
  <si>
    <t>Sprint 1</t>
  </si>
  <si>
    <t>Hito o contenedor de actividades del primer sprint.</t>
  </si>
  <si>
    <t>Elaboracion Requerimiento N1</t>
  </si>
  <si>
    <t>Desarrollar la funcionalidad correspondiente al primer requerimiento priorizado.</t>
  </si>
  <si>
    <t>Elaboracion Requerimiento N2</t>
  </si>
  <si>
    <t>Implementar la funcionalidad del segundo requerimiento del sprint.</t>
  </si>
  <si>
    <t>Elaboracion Requerimiento N3</t>
  </si>
  <si>
    <t>Desarrollar la funcionalidad del tercer requerimiento</t>
  </si>
  <si>
    <t>Elaboracion Requerimiento N4</t>
  </si>
  <si>
    <t>Implementar la funcionalidad del cuarto requerimiento</t>
  </si>
  <si>
    <t>Revision del Primer Sprint</t>
  </si>
  <si>
    <t>Revisar la calidad y correcto funcionamiento de las funcionalidades del sprint.</t>
  </si>
  <si>
    <t>Presentacion del primer Sprint</t>
  </si>
  <si>
    <t>Exponer los requisitos completados en el sprint al equipo y stakeholders.</t>
  </si>
  <si>
    <t>EN PROGRESO</t>
  </si>
  <si>
    <t>Elaboracion del Backblog_V2</t>
  </si>
  <si>
    <t>Refinar o actualizar el backlog del producto para el siguiente sprint.</t>
  </si>
  <si>
    <t>Sprint 2</t>
  </si>
  <si>
    <t>Hito o contenedor de actividades del segundo sprint.</t>
  </si>
  <si>
    <t>POR HACER</t>
  </si>
  <si>
    <t>Elaboracion Requerimiento N5</t>
  </si>
  <si>
    <t>Desarrollar la funcionalidad del quinto requerimiento planificado.</t>
  </si>
  <si>
    <t>Elaboracion Requerimiento N6</t>
  </si>
  <si>
    <t>Desarrollar la funcionalidad del sexto requerimiento planificado.</t>
  </si>
  <si>
    <t>Elaboracion Requerimiento N7</t>
  </si>
  <si>
    <t>Implementar la funcionalidad del séptimo requerimiento</t>
  </si>
  <si>
    <t>EN ESPERA</t>
  </si>
  <si>
    <t>Tercera Reunion</t>
  </si>
  <si>
    <t>Tercera reunión con el administrador para revisar el progreso, validar requerimientos pendientes y planificar los siguientes sprints.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</si>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</sst>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22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F1115"/>
      <name val="Quote-Cjk-Patch"/>
      <charset val="1"/>
    </font>
    <font>
      <sz val="11"/>
      <color rgb="FF000000"/>
      <name val="Aptos Narrow"/>
      <family val="2"/>
    </font>
    <font>
      <sz val="12"/>
      <color rgb="FF0F1115"/>
      <name val="Quote-Cjk-Patch"/>
      <charset val="1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3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0" fontId="19" fillId="18" borderId="37" xfId="0" applyFont="1" applyFill="1" applyBorder="1" applyAlignment="1" applyProtection="1">
      <alignment vertical="center" wrapText="1"/>
      <protection locked="0"/>
    </xf>
    <xf numFmtId="0" fontId="19" fillId="0" borderId="37" xfId="0" applyFont="1" applyBorder="1" applyAlignment="1" applyProtection="1">
      <alignment vertical="center" wrapText="1"/>
      <protection locked="0"/>
    </xf>
    <xf numFmtId="14" fontId="20" fillId="0" borderId="37" xfId="0" applyNumberFormat="1" applyFont="1" applyBorder="1" applyAlignment="1" applyProtection="1">
      <alignment vertical="center"/>
      <protection locked="0"/>
    </xf>
    <xf numFmtId="14" fontId="20" fillId="0" borderId="37" xfId="0" applyNumberFormat="1" applyFont="1" applyBorder="1" applyAlignment="1" applyProtection="1">
      <alignment horizontal="center" vertical="center"/>
      <protection locked="0"/>
    </xf>
    <xf numFmtId="14" fontId="20" fillId="18" borderId="37" xfId="0" applyNumberFormat="1" applyFont="1" applyFill="1" applyBorder="1" applyAlignment="1" applyProtection="1">
      <alignment vertical="center"/>
      <protection locked="0"/>
    </xf>
    <xf numFmtId="14" fontId="20" fillId="18" borderId="37" xfId="0" applyNumberFormat="1" applyFont="1" applyFill="1" applyBorder="1" applyAlignment="1" applyProtection="1">
      <alignment horizontal="center" vertical="center"/>
      <protection locked="0"/>
    </xf>
    <xf numFmtId="14" fontId="20" fillId="0" borderId="37" xfId="0" applyNumberFormat="1" applyFont="1" applyBorder="1" applyAlignment="1" applyProtection="1">
      <alignment horizontal="center"/>
      <protection locked="0"/>
    </xf>
    <xf numFmtId="14" fontId="20" fillId="18" borderId="37" xfId="0" applyNumberFormat="1" applyFont="1" applyFill="1" applyBorder="1" applyAlignment="1" applyProtection="1">
      <alignment horizontal="center"/>
      <protection locked="0"/>
    </xf>
    <xf numFmtId="0" fontId="21" fillId="0" borderId="0" xfId="0" applyFont="1" applyAlignment="1">
      <alignment wrapText="1"/>
    </xf>
    <xf numFmtId="14" fontId="3" fillId="0" borderId="38" xfId="2" applyNumberFormat="1" applyBorder="1" applyAlignment="1">
      <alignment vertical="center"/>
    </xf>
    <xf numFmtId="164" fontId="0" fillId="0" borderId="0" xfId="0" applyNumberFormat="1" applyAlignment="1">
      <alignment horizontal="left" vertical="center"/>
    </xf>
    <xf numFmtId="164" fontId="3" fillId="0" borderId="0" xfId="2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164" fontId="0" fillId="0" borderId="0" xfId="0" applyNumberFormat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="70" zoomScaleNormal="70" workbookViewId="0">
      <pane ySplit="4" topLeftCell="A41" activePane="bottomLeft" state="frozen"/>
      <selection pane="bottomLeft" activeCell="D7" sqref="D7:E7"/>
    </sheetView>
  </sheetViews>
  <sheetFormatPr baseColWidth="10" defaultColWidth="0" defaultRowHeight="15" zeroHeight="1"/>
  <cols>
    <col min="1" max="2" width="2.5703125" style="2" customWidth="1"/>
    <col min="3" max="3" width="10.5703125" style="12" customWidth="1"/>
    <col min="4" max="5" width="15.5703125" style="12" customWidth="1"/>
    <col min="6" max="7" width="2.5703125" style="2" customWidth="1"/>
    <col min="8" max="8" width="10.5703125" style="12" customWidth="1"/>
    <col min="9" max="10" width="15.5703125" style="12" customWidth="1"/>
    <col min="11" max="12" width="2.5703125" style="2" customWidth="1"/>
    <col min="13" max="13" width="10.5703125" style="12" customWidth="1"/>
    <col min="14" max="15" width="15.5703125" style="12" customWidth="1"/>
    <col min="16" max="17" width="2.5703125" style="2" customWidth="1"/>
    <col min="18" max="18" width="10.5703125" style="12" customWidth="1"/>
    <col min="19" max="20" width="15.5703125" style="12" customWidth="1"/>
    <col min="21" max="22" width="2.5703125" style="2" customWidth="1"/>
    <col min="23" max="23" width="10.5703125" style="12" customWidth="1"/>
    <col min="24" max="25" width="15.5703125" style="12" customWidth="1"/>
    <col min="26" max="27" width="2.5703125" style="2" customWidth="1"/>
    <col min="28" max="28" width="10.5703125" style="12" customWidth="1"/>
    <col min="29" max="30" width="15.5703125" style="12" customWidth="1"/>
    <col min="31" max="32" width="2.5703125" style="2" customWidth="1"/>
    <col min="33" max="33" width="10.5703125" style="12" customWidth="1"/>
    <col min="34" max="35" width="15.5703125" style="12" customWidth="1"/>
    <col min="36" max="37" width="2.5703125" style="2" customWidth="1"/>
    <col min="38" max="38" width="10.5703125" style="12" customWidth="1"/>
    <col min="39" max="40" width="15.5703125" style="12" customWidth="1"/>
    <col min="41" max="42" width="2.5703125" style="2" customWidth="1"/>
    <col min="43" max="43" width="10.5703125" style="12" customWidth="1"/>
    <col min="44" max="45" width="15.5703125" style="12" customWidth="1"/>
    <col min="46" max="47" width="2.5703125" style="2" customWidth="1"/>
    <col min="48" max="48" width="10.5703125" style="12" customWidth="1"/>
    <col min="49" max="50" width="15.5703125" style="12" customWidth="1"/>
    <col min="51" max="52" width="2.5703125" style="2" customWidth="1"/>
    <col min="53" max="16384" width="10.85546875" style="2" hidden="1"/>
  </cols>
  <sheetData>
    <row r="1" spans="2:51" ht="15.75" thickBot="1"/>
    <row r="2" spans="2:51" ht="15.75" thickBot="1">
      <c r="B2" s="124" t="str">
        <f>Configura!$B$2</f>
        <v xml:space="preserve">                Tablero KANBAN v3 ©️            </v>
      </c>
      <c r="C2" s="124"/>
      <c r="D2" s="124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30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.75" thickBot="1"/>
    <row r="4" spans="2:51" ht="21.75" thickBot="1">
      <c r="B4" s="26">
        <v>1</v>
      </c>
      <c r="C4" s="123" t="str" cm="1">
        <f t="array" aca="1" ref="C4" ca="1">IFERROR(INDEX(Configura!$B$9:$B$18,B4)&amp;" ("&amp;SUMIF(misEstados,B4,misFiltros)&amp;" de "&amp;SUM(misFiltros)&amp;")","")</f>
        <v>POR HACER (3 de 30)</v>
      </c>
      <c r="D4" s="123"/>
      <c r="E4" s="123"/>
      <c r="F4" s="9" t="s">
        <v>0</v>
      </c>
      <c r="G4" s="25">
        <f>B4+1</f>
        <v>2</v>
      </c>
      <c r="H4" s="123" t="str" cm="1">
        <f t="array" aca="1" ref="H4" ca="1">IFERROR(INDEX(Configura!$B$9:$B$18,G4)&amp;" ("&amp;SUMIF(misEstados,G4,misFiltros)&amp;" de "&amp;SUM(misFiltros)&amp;")","")</f>
        <v>EN PROGRESO (2 de 30)</v>
      </c>
      <c r="I4" s="123"/>
      <c r="J4" s="123"/>
      <c r="K4" s="9" t="s">
        <v>0</v>
      </c>
      <c r="L4" s="25">
        <f>G4+1</f>
        <v>3</v>
      </c>
      <c r="M4" s="123" t="str" cm="1">
        <f t="array" aca="1" ref="M4" ca="1">IFERROR(INDEX(Configura!$B$9:$B$18,L4)&amp;" ("&amp;SUMIF(misEstados,L4,misFiltros)&amp;" de "&amp;SUM(misFiltros)&amp;")","")</f>
        <v>EN ESPERA (1 de 30)</v>
      </c>
      <c r="N4" s="123"/>
      <c r="O4" s="123"/>
      <c r="P4" s="9" t="s">
        <v>0</v>
      </c>
      <c r="Q4" s="25">
        <f>L4+1</f>
        <v>4</v>
      </c>
      <c r="R4" s="123" t="str" cm="1">
        <f t="array" aca="1" ref="R4" ca="1">IFERROR(INDEX(Configura!$B$9:$B$18,Q4)&amp;" ("&amp;SUMIF(misEstados,Q4,misFiltros)&amp;" de "&amp;SUM(misFiltros)&amp;")","")</f>
        <v>COMPLETADO (24 de 30)</v>
      </c>
      <c r="S4" s="123"/>
      <c r="T4" s="123"/>
      <c r="U4" s="9" t="s">
        <v>0</v>
      </c>
      <c r="V4" s="25">
        <f>Q4+1</f>
        <v>5</v>
      </c>
      <c r="W4" s="123" t="str" cm="1">
        <f t="array" aca="1" ref="W4" ca="1">IFERROR(INDEX(Configura!$B$9:$B$18,V4)&amp;" ("&amp;SUMIF(misEstados,V4,misFiltros)&amp;" de "&amp;SUM(misFiltros)&amp;")","")</f>
        <v>ARCHIVADO (0 de 30)</v>
      </c>
      <c r="X4" s="123"/>
      <c r="Y4" s="123"/>
      <c r="Z4" s="10" t="s">
        <v>0</v>
      </c>
      <c r="AA4" s="25">
        <f>V4+1</f>
        <v>6</v>
      </c>
      <c r="AB4" s="123" t="str" cm="1">
        <f t="array" aca="1" ref="AB4" ca="1">IFERROR(INDEX(Configura!$B$9:$B$18,AA4)&amp;" ("&amp;SUMIF(misEstados,AA4,misFiltros)&amp;" de "&amp;SUM(misFiltros)&amp;")","")</f>
        <v>POR HACER (0 de 30)</v>
      </c>
      <c r="AC4" s="123"/>
      <c r="AD4" s="123"/>
      <c r="AE4" s="10" t="s">
        <v>0</v>
      </c>
      <c r="AF4" s="25">
        <f>AA4+1</f>
        <v>7</v>
      </c>
      <c r="AG4" s="123" t="str" cm="1">
        <f t="array" aca="1" ref="AG4" ca="1">IFERROR(INDEX(Configura!$B$9:$B$18,AF4)&amp;" ("&amp;SUMIF(misEstados,AF4,misFiltros)&amp;" de "&amp;SUM(misFiltros)&amp;")","")</f>
        <v>EN PROGRESO (0 de 30)</v>
      </c>
      <c r="AH4" s="123"/>
      <c r="AI4" s="123"/>
      <c r="AJ4" s="10" t="s">
        <v>0</v>
      </c>
      <c r="AK4" s="25">
        <f>AF4+1</f>
        <v>8</v>
      </c>
      <c r="AL4" s="123" t="str" cm="1">
        <f t="array" aca="1" ref="AL4" ca="1">IFERROR(INDEX(Configura!$B$9:$B$18,AK4)&amp;" ("&amp;SUMIF(misEstados,AK4,misFiltros)&amp;" de "&amp;SUM(misFiltros)&amp;")","")</f>
        <v xml:space="preserve"> (0 de 30)</v>
      </c>
      <c r="AM4" s="123"/>
      <c r="AN4" s="123"/>
      <c r="AO4" s="10" t="s">
        <v>0</v>
      </c>
      <c r="AP4" s="25">
        <f>AK4+1</f>
        <v>9</v>
      </c>
      <c r="AQ4" s="123" t="str" cm="1">
        <f t="array" aca="1" ref="AQ4" ca="1">IFERROR(INDEX(Configura!$B$9:$B$18,AP4)&amp;" ("&amp;SUMIF(misEstados,AP4,misFiltros)&amp;" de "&amp;SUM(misFiltros)&amp;")","")</f>
        <v xml:space="preserve"> (0 de 30)</v>
      </c>
      <c r="AR4" s="123"/>
      <c r="AS4" s="123"/>
      <c r="AT4" s="10" t="s">
        <v>0</v>
      </c>
      <c r="AU4" s="25">
        <f>AP4+1</f>
        <v>10</v>
      </c>
      <c r="AV4" s="123" t="str" cm="1">
        <f t="array" aca="1" ref="AV4" ca="1">IFERROR(INDEX(Configura!$B$9:$B$18,AU4)&amp;" ("&amp;SUMIF(misEstados,AU4,misFiltros)&amp;" de "&amp;SUM(misFiltros)&amp;")","")</f>
        <v xml:space="preserve"> (0 de 30)</v>
      </c>
      <c r="AW4" s="123"/>
      <c r="AX4" s="123"/>
      <c r="AY4" s="10" t="s">
        <v>0</v>
      </c>
    </row>
    <row r="5" spans="2:51" ht="15.75" thickTop="1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29:</v>
      </c>
      <c r="D6" s="119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>Elaboracion Requerimiento N7</v>
      </c>
      <c r="E6" s="119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26:</v>
      </c>
      <c r="I6" s="119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Sprint 2</v>
      </c>
      <c r="J6" s="119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>Tarea 30:</v>
      </c>
      <c r="N6" s="119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>Tercera Reunion</v>
      </c>
      <c r="O6" s="119" t="e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>#VALUE!</v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24:</v>
      </c>
      <c r="S6" s="119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Presentacion del primer Sprint</v>
      </c>
      <c r="T6" s="119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9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9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9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9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9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9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9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9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9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9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9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9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20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>Implementar la funcionalidad del séptimo requerimiento</v>
      </c>
      <c r="E7" s="119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19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Hito o contenedor de actividades del segundo sprint.</v>
      </c>
      <c r="J7" s="119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>Descripción:</v>
      </c>
      <c r="N7" s="119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>Tercera reunión con el administrador para revisar el progreso, validar requerimientos pendientes y planificar los siguientes sprints.</v>
      </c>
      <c r="O7" s="119" t="e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>#VALUE!</v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9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Exponer los requisitos completados en el sprint al equipo y stakeholders.</v>
      </c>
      <c r="T7" s="119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9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9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9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9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9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9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9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9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9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9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9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9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19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46185</v>
      </c>
      <c r="E8" s="119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19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46185</v>
      </c>
      <c r="J8" s="119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>Inicio:</v>
      </c>
      <c r="N8" s="119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>46190</v>
      </c>
      <c r="O8" s="119" t="e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>#VALUE!</v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9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46177</v>
      </c>
      <c r="T8" s="119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9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9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9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9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9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9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9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9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9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9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9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9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19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46186</v>
      </c>
      <c r="E9" s="119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19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46186</v>
      </c>
      <c r="J9" s="119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>Previsto:</v>
      </c>
      <c r="N9" s="119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>46190</v>
      </c>
      <c r="O9" s="119" t="e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>#VALUE!</v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9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46177</v>
      </c>
      <c r="T9" s="119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9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9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9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9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9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9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9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9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9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9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9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9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19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46187</v>
      </c>
      <c r="E10" s="119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19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46187</v>
      </c>
      <c r="J10" s="119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>Final:</v>
      </c>
      <c r="N10" s="119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>46190</v>
      </c>
      <c r="O10" s="119" t="e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>#VALUE!</v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9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46177</v>
      </c>
      <c r="T10" s="119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9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9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9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9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9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9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9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9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9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9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9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9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19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>3 días</v>
      </c>
      <c r="E11" s="119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19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>3 días</v>
      </c>
      <c r="J11" s="119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>Duración:</v>
      </c>
      <c r="N11" s="119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>1 días</v>
      </c>
      <c r="O11" s="119" t="e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>#VALUE!</v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9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19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9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9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9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9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9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9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9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9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9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9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9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9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19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>1 días</v>
      </c>
      <c r="E12" s="119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19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>1 días</v>
      </c>
      <c r="J12" s="119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>Retraso:</v>
      </c>
      <c r="N12" s="119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>0 días</v>
      </c>
      <c r="O12" s="119" t="e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>#VALUE!</v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9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9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9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9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9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9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9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9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9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9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9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9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9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9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19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Joel Tapia</v>
      </c>
      <c r="E13" s="119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19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0</v>
      </c>
      <c r="J13" s="119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>Asignado:</v>
      </c>
      <c r="N13" s="119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>Tapia,Socasi,Sanchez, Tapia</v>
      </c>
      <c r="O13" s="119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9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Tapia,Socasi,Sanchez, Tapia</v>
      </c>
      <c r="T13" s="119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9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9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9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9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9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9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9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9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9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9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9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9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9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9" t="e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>#VALUE!</v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9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9" t="e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>#VALUE!</v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9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9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9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9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9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9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9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9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9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9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9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9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9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9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9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9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>Tarea 28:</v>
      </c>
      <c r="D15" s="119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>Elaboracion Requerimiento N6</v>
      </c>
      <c r="E15" s="119" t="e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>#VALUE!</v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>Tarea 25:</v>
      </c>
      <c r="I15" s="119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>Elaboracion del Backblog_V2</v>
      </c>
      <c r="J15" s="119" t="e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>#VALUE!</v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9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9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23:</v>
      </c>
      <c r="S15" s="119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Revision del Primer Sprint</v>
      </c>
      <c r="T15" s="119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9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9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9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9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9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9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9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9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9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9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9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9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>Descripción:</v>
      </c>
      <c r="D16" s="119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>Desarrollar la funcionalidad del sexto requerimiento planificado.</v>
      </c>
      <c r="E16" s="119" t="e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>#VALUE!</v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>Descripción:</v>
      </c>
      <c r="I16" s="119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>Refinar o actualizar el backlog del producto para el siguiente sprint.</v>
      </c>
      <c r="J16" s="119" t="e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>#VALUE!</v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9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9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9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Revisar la calidad y correcto funcionamiento de las funcionalidades del sprint.</v>
      </c>
      <c r="T16" s="119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9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9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9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9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9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9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9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9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9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9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9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9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>Inicio:</v>
      </c>
      <c r="D17" s="119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>46185</v>
      </c>
      <c r="E17" s="119" t="e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>#VALUE!</v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>Inicio:</v>
      </c>
      <c r="I17" s="119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>46181</v>
      </c>
      <c r="J17" s="119" t="e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>#VALUE!</v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9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9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9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46174</v>
      </c>
      <c r="T17" s="119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9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9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9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9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9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9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9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9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9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9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9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9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>Previsto:</v>
      </c>
      <c r="D18" s="119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>46186</v>
      </c>
      <c r="E18" s="119" t="e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>#VALUE!</v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>Previsto:</v>
      </c>
      <c r="I18" s="119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>46182</v>
      </c>
      <c r="J18" s="119" t="e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>#VALUE!</v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9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9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9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46174</v>
      </c>
      <c r="T18" s="119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9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9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9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9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9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9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9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9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9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9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9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9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>Final:</v>
      </c>
      <c r="D19" s="119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>46187</v>
      </c>
      <c r="E19" s="119" t="e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>#VALUE!</v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>Final:</v>
      </c>
      <c r="I19" s="119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>46183</v>
      </c>
      <c r="J19" s="119" t="e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>#VALUE!</v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9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9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9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46174</v>
      </c>
      <c r="T19" s="119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9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9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9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9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9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9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9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9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9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9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9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9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>Duración:</v>
      </c>
      <c r="D20" s="119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>3 días</v>
      </c>
      <c r="E20" s="119" t="e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>#VALUE!</v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>Duración:</v>
      </c>
      <c r="I20" s="119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>3 días</v>
      </c>
      <c r="J20" s="119" t="e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>#VALUE!</v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9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9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9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 días</v>
      </c>
      <c r="T20" s="119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9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9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9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9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9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9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9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9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9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9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9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9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>Retraso:</v>
      </c>
      <c r="D21" s="119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>1 días</v>
      </c>
      <c r="E21" s="119" t="e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>#VALUE!</v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>Retraso:</v>
      </c>
      <c r="I21" s="119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>1 días</v>
      </c>
      <c r="J21" s="119" t="e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>#VALUE!</v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9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9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9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9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9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9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9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9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9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9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9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9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9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9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9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9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>Asignado:</v>
      </c>
      <c r="D22" s="119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>Vicente Sanchez</v>
      </c>
      <c r="E22" s="119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>Asignado:</v>
      </c>
      <c r="I22" s="119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>Tapia,Socasi,Sanchez, Tapia</v>
      </c>
      <c r="J22" s="119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9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9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9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Ing. Jenny Ruiz</v>
      </c>
      <c r="T22" s="119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9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9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9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9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9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9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9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9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9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9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9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9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9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9" t="e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>#VALUE!</v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9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9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9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9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9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9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9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9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9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9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9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9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9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9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9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9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9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9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>Tarea 27:</v>
      </c>
      <c r="D24" s="119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>Elaboracion Requerimiento N5</v>
      </c>
      <c r="E24" s="119" t="e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>#VALUE!</v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9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9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9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9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22:</v>
      </c>
      <c r="S24" s="119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Elaboracion Requerimiento N4</v>
      </c>
      <c r="T24" s="119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9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9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9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9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9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9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9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9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9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9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9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9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>Descripción:</v>
      </c>
      <c r="D25" s="119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>Desarrollar la funcionalidad del quinto requerimiento planificado.</v>
      </c>
      <c r="E25" s="119" t="e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>#VALUE!</v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9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9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9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9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9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Implementar la funcionalidad del cuarto requerimiento</v>
      </c>
      <c r="T25" s="119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9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9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9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9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9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9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9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9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9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9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9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9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>Inicio:</v>
      </c>
      <c r="D26" s="119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>46185</v>
      </c>
      <c r="E26" s="119" t="e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>#VALUE!</v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9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9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9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9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9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46172</v>
      </c>
      <c r="T26" s="119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9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9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9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9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9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9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9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9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9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9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9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9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>Previsto:</v>
      </c>
      <c r="D27" s="119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>46186</v>
      </c>
      <c r="E27" s="119" t="e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>#VALUE!</v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9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9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9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9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9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46173</v>
      </c>
      <c r="T27" s="119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9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9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9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9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9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9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9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9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9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9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9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9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>Final:</v>
      </c>
      <c r="D28" s="119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>46187</v>
      </c>
      <c r="E28" s="119" t="e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>#VALUE!</v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9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9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9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9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9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46173</v>
      </c>
      <c r="T28" s="119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9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9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9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9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9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9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9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9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9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9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9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9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>Duración:</v>
      </c>
      <c r="D29" s="119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>3 días</v>
      </c>
      <c r="E29" s="119" t="e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>#VALUE!</v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9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9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9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9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9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2 días</v>
      </c>
      <c r="T29" s="119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9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9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9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9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9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9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9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9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9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9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9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9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>Retraso:</v>
      </c>
      <c r="D30" s="119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>1 días</v>
      </c>
      <c r="E30" s="119" t="e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>#VALUE!</v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9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9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9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9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9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9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9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9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9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9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9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9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9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9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9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9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9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9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>Asignado:</v>
      </c>
      <c r="D31" s="119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>Jonathan Rodriguez</v>
      </c>
      <c r="E31" s="119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9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9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9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9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9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Jonathan Rodriguez</v>
      </c>
      <c r="T31" s="119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9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9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9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9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9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9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9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9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9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9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9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9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9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9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9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9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9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9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9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9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9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9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9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9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9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9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9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9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9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9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9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9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9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9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9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9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9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9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21:</v>
      </c>
      <c r="S33" s="119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Elaboracion Requerimiento N3</v>
      </c>
      <c r="T33" s="119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9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9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9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9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9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9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9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9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9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9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9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9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9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9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9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9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9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9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9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Desarrollar la funcionalidad del tercer requerimiento</v>
      </c>
      <c r="T34" s="119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9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9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9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9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9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9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9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9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9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9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9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9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9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9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9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9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9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9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9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46172</v>
      </c>
      <c r="T35" s="119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9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9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9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9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9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9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9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9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9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9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9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9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9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9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9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9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9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9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9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46173</v>
      </c>
      <c r="T36" s="119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9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9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9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9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9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9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9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9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9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9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9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9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9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9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9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9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9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9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9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46173</v>
      </c>
      <c r="T37" s="119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9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9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9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9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9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9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9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9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9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9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9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9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9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9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9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9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9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9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9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2 días</v>
      </c>
      <c r="T38" s="119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9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9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9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9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9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9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9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9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9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9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9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9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9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9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9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9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9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9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9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9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9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9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9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9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9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9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9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9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9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9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9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9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9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9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9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9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9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9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9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Jonathan Rodriguez</v>
      </c>
      <c r="T40" s="119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9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9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9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9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9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9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9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9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9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9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9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9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9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9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9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9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9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9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9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9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9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9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9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9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9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9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9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9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9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9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9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9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9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9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9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9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9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9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20:</v>
      </c>
      <c r="S42" s="119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Elaboracion Requerimiento N2</v>
      </c>
      <c r="T42" s="119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9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9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9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9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9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9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9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9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9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9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9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9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9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9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9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9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20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9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9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Implementar la funcionalidad del segundo requerimiento del sprint.</v>
      </c>
      <c r="T43" s="119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9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9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9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9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9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9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9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9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9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9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9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9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9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9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9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9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9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9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9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46172</v>
      </c>
      <c r="T44" s="119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9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9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9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9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9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9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9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9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9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9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9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9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9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9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9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9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9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9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9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46173</v>
      </c>
      <c r="T45" s="119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9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9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9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9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9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9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9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9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9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9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9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9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9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9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9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9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9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9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9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46173</v>
      </c>
      <c r="T46" s="119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9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9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9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9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9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9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9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9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9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9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9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9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9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9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9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9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9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9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9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2 días</v>
      </c>
      <c r="T47" s="119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9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9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9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9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9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9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9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9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9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9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9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9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9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9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9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9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9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9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9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9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9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9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9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9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9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9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9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9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9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9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9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9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9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9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9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9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9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9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9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Jonathan Rodriguez</v>
      </c>
      <c r="T49" s="119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9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9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9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9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9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9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9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9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9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9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9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9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9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9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9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9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9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9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9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9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9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9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9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9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9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9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9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9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9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9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9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9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9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9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9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9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9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9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19:</v>
      </c>
      <c r="S51" s="119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Elaboracion Requerimiento N1</v>
      </c>
      <c r="T51" s="119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9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9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9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9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9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9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9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9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9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9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9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9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9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9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9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9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22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22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9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Desarrollar la funcionalidad correspondiente al primer requerimiento priorizado.</v>
      </c>
      <c r="T52" s="119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9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9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9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9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9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9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9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9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9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9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9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9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9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9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9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9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9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9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9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46172</v>
      </c>
      <c r="T53" s="119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9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9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9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9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9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9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9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9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9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9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9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9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9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9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9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9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9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9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9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46173</v>
      </c>
      <c r="T54" s="119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9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9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9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9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9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9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9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9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9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9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9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9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9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9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9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9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9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9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9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46173</v>
      </c>
      <c r="T55" s="119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9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9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9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9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9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9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9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9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9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9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9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9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9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9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9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9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9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9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9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2 días</v>
      </c>
      <c r="T56" s="119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9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9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9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9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9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9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9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9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9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9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9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9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9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9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9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9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9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9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9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9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9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9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9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9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9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9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9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9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9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9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9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9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9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9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9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9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9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9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9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Vicente Sanchez</v>
      </c>
      <c r="T58" s="119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9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9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9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9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9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9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9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9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9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9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9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9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9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9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9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9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9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9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9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9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9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9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9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9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9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9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9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9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9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9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9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9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9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9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9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9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9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9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18:</v>
      </c>
      <c r="S60" s="119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Sprint 1</v>
      </c>
      <c r="T60" s="119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9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9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9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9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9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9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9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9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9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9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9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9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9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9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9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9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9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9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9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Hito o contenedor de actividades del primer sprint.</v>
      </c>
      <c r="T61" s="119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9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9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9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9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9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9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9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9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9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9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9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9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9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9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9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9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9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9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9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46169</v>
      </c>
      <c r="T62" s="119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9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9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9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9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9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9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9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9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9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9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9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9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9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9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9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9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9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9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9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46169</v>
      </c>
      <c r="T63" s="119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9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9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9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9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9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9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9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9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9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9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9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9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9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9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9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9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9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9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9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46169</v>
      </c>
      <c r="T64" s="119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9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9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9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9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9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9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9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9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9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9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9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9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9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9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9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9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9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9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9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1 días</v>
      </c>
      <c r="T65" s="119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9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9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9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9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9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9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9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9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9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9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9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9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9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9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9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9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9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9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9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9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9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9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9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9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9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9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9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9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9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9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9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9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9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9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9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9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9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9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9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0</v>
      </c>
      <c r="T67" s="119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9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9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9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9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9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9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9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9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9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9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9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9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9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9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9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9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9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9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9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9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9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9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9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9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9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9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9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9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9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9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9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9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9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9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9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9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9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9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17:</v>
      </c>
      <c r="S69" s="119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Elaboracion del Backblog_V1</v>
      </c>
      <c r="T69" s="119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9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9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9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9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9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9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9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9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9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9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9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9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9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9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9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9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9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9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9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 xml:space="preserve">Crear el backlog inicial del producto </v>
      </c>
      <c r="T70" s="119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9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9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9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9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9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9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9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9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9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9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9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9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9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9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9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9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9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9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9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46169</v>
      </c>
      <c r="T71" s="119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9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9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9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9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9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9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9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9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9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9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9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9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9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9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9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9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9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9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9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46169</v>
      </c>
      <c r="T72" s="119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9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9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9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9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9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9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9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9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9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9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9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9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9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9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9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9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9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9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9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46169</v>
      </c>
      <c r="T73" s="119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9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9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9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9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9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9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9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9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9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9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9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9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9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9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9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9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9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9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9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1 días</v>
      </c>
      <c r="T74" s="119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9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9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9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9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9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9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9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9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9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9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9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9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9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9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9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9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9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9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9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9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9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9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9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9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9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9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9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9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9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9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9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9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9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9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9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9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9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9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9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Tapia,Socasi,Sanchez, Tapia</v>
      </c>
      <c r="T76" s="119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9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9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9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9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9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9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9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9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9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9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9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9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9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9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9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9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9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9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9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9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9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9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9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9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9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9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9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9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9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9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9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9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9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9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9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9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9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9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16:</v>
      </c>
      <c r="S78" s="119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Revision de la Matriz de usuario</v>
      </c>
      <c r="T78" s="119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9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9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9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9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9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9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9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9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9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9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9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9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9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9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9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9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9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9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9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Validar la matriz de usuarios para asegurar consistencia y completitud.</v>
      </c>
      <c r="T79" s="119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9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9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9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9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9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9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9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9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9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9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9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9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9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9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9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9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9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9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9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46160</v>
      </c>
      <c r="T80" s="119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9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9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9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9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9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9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9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9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9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9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9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9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9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9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9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9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9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9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9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46160</v>
      </c>
      <c r="T81" s="119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9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9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9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9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9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9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9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9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9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9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9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9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9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9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9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9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9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9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9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46160</v>
      </c>
      <c r="T82" s="119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9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9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9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9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9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9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9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9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9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9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9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9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9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9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9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9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9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9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9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1 días</v>
      </c>
      <c r="T83" s="119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9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9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9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9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9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9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9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9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9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9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9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9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9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9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9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9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9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9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9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9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9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9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9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9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9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9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9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9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9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9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9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9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9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9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9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9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9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9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9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Ing. Jenny Ruiz</v>
      </c>
      <c r="T85" s="119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9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9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9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9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9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9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9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9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9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9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9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9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9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9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9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9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9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9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9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9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9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9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9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9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9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9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9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9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9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9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9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9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9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9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9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9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9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9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15:</v>
      </c>
      <c r="S87" s="119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Elaboracion de Matriz de usuario_v1</v>
      </c>
      <c r="T87" s="119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9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9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9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9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9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9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9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9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9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9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9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9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9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9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9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9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9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9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9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Construir una matriz que relacione actores, roles y necesidades del sistema.</v>
      </c>
      <c r="T88" s="119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9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9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9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9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9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9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9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9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9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9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9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9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9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9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9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9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9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9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9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46156</v>
      </c>
      <c r="T89" s="119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9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9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9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9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9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9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9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9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9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9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9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9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9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9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9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9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9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9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9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46157</v>
      </c>
      <c r="T90" s="119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9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9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9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9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9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9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9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9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9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9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9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9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9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9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9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9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9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9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9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46157</v>
      </c>
      <c r="T91" s="119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9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9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9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9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9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9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9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9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9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9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9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9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9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9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9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9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9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9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9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2 días</v>
      </c>
      <c r="T92" s="119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9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9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9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9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9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9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9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9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9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9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9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9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9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9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9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9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9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9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9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9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9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9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9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9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9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9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9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9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9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9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9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9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9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9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9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9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9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9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9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Juan Socasi</v>
      </c>
      <c r="T94" s="119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9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9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9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9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9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9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9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9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9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9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9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9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9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9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9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9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9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9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9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9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9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9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9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9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9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9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9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9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9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9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9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9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9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9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9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9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9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9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14:</v>
      </c>
      <c r="S96" s="119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 xml:space="preserve">Segunda reunion  </v>
      </c>
      <c r="T96" s="119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9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9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9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9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9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9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9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9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9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9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9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9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9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9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9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9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9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9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9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Segunda reunión con el administrador para presentar hallazgos iniciales.</v>
      </c>
      <c r="T97" s="119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9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9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9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9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9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9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9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9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9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9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9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9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9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9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9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9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9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9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9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46156</v>
      </c>
      <c r="T98" s="119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9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9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9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9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9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9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9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9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9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9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9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9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9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9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9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9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9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9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9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46156</v>
      </c>
      <c r="T99" s="119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9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9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9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9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9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9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9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9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9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9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9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9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9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9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9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9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9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9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9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46156</v>
      </c>
      <c r="T100" s="119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9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9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9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9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9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9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9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9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9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9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9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9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9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9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9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9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9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9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9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1 días</v>
      </c>
      <c r="T101" s="119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9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9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9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9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9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9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9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9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9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9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9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9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9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9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9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9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9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9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9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9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9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9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9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9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9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9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9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9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9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9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9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9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9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9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9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9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9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9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9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Jonathan Rodriguez</v>
      </c>
      <c r="T103" s="119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9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9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9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9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9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9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9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9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9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9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9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9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9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9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9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9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9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9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9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9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9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9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9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9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9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9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9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9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9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9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9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9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9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9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9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9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9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9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13:</v>
      </c>
      <c r="S105" s="119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 xml:space="preserve">Elaborar la segundas preguntas para la entrevista </v>
      </c>
      <c r="T105" s="119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9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9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9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9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9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9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9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9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9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9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9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9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9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9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9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9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9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9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9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Preparar una segunda ronda de preguntas para profundizar en requisitos.</v>
      </c>
      <c r="T106" s="119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9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9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9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9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9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9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9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9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9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9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9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9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9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9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9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9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9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9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9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46153</v>
      </c>
      <c r="T107" s="119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9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9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9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9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9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9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9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9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9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9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9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9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9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9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9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9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9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9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9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46154</v>
      </c>
      <c r="T108" s="119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9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9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9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9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9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9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9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9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9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9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9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9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9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9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9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9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9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9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9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46154</v>
      </c>
      <c r="T109" s="119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9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9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9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9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9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9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9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9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9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9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9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9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9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9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9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9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9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9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9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2 días</v>
      </c>
      <c r="T110" s="119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9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9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9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9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9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9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9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9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9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9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9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9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9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9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9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9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9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9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9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9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9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9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9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9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9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9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9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9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9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9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9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9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9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9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9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9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9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9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9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Jonathan Rodriguez</v>
      </c>
      <c r="T112" s="119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9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9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9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9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9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9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9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9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9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9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9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9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9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9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9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9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9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9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9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9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9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9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9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9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9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9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9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9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9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9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9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9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9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9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9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9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9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9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12:</v>
      </c>
      <c r="S114" s="119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 xml:space="preserve">Defensa del proyecto primer parcial </v>
      </c>
      <c r="T114" s="119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9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9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9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9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9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9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9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9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9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9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9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9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9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9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9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9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9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9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9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Presentación y sustentación del avance del proyecto ante evaluadores.</v>
      </c>
      <c r="T115" s="119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9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9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9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9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9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9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9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9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9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9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9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9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9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9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9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9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9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9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9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46150</v>
      </c>
      <c r="T116" s="119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9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9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9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9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9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9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9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9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9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9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9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9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9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9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9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9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9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9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9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46150</v>
      </c>
      <c r="T117" s="119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9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9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9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9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9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9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9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9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9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9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9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9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9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9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9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9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9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9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9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46150</v>
      </c>
      <c r="T118" s="119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9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9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9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9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9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9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9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9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9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9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9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9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9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9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9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9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9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9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9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1 días</v>
      </c>
      <c r="T119" s="119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9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9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9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9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9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9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9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9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9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9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9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9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9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9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9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9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9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9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9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9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9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9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9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9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9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9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9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9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9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9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9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9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9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9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9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9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9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9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9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Tapia,Socasi,Sanchez, Tapia</v>
      </c>
      <c r="T121" s="119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9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9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9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9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9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9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9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9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9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9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9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9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9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9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9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9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9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9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9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9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9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9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9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9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9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9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9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9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9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9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9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9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9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9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9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9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9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9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11:</v>
      </c>
      <c r="S123" s="119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 xml:space="preserve">Revision del perfil del proyecto </v>
      </c>
      <c r="T123" s="119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9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9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9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9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9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9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9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9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9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9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9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9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9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9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9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9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9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9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9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Revisar y ajustar el documento de perfil del proyecto antes de la defensa.</v>
      </c>
      <c r="T124" s="119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9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9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9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9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9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9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9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9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9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9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9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9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9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9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9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9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9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9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9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46150</v>
      </c>
      <c r="T125" s="119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9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9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9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9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9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9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9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9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9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9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9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9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9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9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9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9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9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9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9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46150</v>
      </c>
      <c r="T126" s="119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9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9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9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9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9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9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9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9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9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9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9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9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9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9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9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9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9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9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9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46150</v>
      </c>
      <c r="T127" s="119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9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9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9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9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9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9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9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9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9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9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9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9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9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9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9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9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9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9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9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1 días</v>
      </c>
      <c r="T128" s="119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9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9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9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9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9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9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9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9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9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9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9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9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9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9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9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9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9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9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9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19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9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9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9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9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9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9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9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9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9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9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9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9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9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9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9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9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9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9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9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Juan Socasi</v>
      </c>
      <c r="T130" s="119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9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9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9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9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9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9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9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9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9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9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9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9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9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9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9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9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9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9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9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9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9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9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9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9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9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9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9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9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9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9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9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9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9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9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9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9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9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9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10:</v>
      </c>
      <c r="S132" s="119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Primera Reunion</v>
      </c>
      <c r="T132" s="119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9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9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9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9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9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9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9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9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9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9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9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9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9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9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9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9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9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9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9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Sesión de trabajo con el administrador para validar necesidades y expectativas</v>
      </c>
      <c r="T133" s="119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9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9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9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9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9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9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9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9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9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9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9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9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9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9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9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9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9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9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9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46149</v>
      </c>
      <c r="T134" s="119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9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9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9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9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9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9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9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9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9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9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9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9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9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9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9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9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9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9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9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46149</v>
      </c>
      <c r="T135" s="119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9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9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9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9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9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9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9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9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9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9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9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9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9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9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9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9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9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9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9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46149</v>
      </c>
      <c r="T136" s="119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9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9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9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9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9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9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9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9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9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9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9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9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9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9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9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9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9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9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9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1 días</v>
      </c>
      <c r="T137" s="119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9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9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9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9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9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9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9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9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9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9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9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9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9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9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9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9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9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9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9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9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9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9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9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9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9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9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9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9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9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9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9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9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9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9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9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9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9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9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9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Tapia,Socasi,Sanchez, Tapia</v>
      </c>
      <c r="T139" s="119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9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9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9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9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9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9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9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9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9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9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9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9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9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9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9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9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9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9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9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9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9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9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9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9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9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9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9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9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9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9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9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9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9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9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9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9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9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9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9:</v>
      </c>
      <c r="S141" s="119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Elaborar Preguntas para la entrevistas</v>
      </c>
      <c r="T141" s="119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9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9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9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9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9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9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9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9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9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9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9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9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9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9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9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9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9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9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19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Crear un cuestionario dirigido a los stakeholders para recopilar requisitos.</v>
      </c>
      <c r="T142" s="119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9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9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9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9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9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9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9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9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9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9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9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9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9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9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9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9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9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9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19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46148</v>
      </c>
      <c r="T143" s="119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9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9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9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9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9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9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9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9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9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9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9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9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9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9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9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9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9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9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19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46148</v>
      </c>
      <c r="T144" s="119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9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9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9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9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9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9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9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9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9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9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9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9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9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9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9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9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9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9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19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46148</v>
      </c>
      <c r="T145" s="119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9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9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9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9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9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9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9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9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9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9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9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9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9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9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9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9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9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9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19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1 días</v>
      </c>
      <c r="T146" s="119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9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9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9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9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9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9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9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9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9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9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9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9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9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9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9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9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9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9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19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19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9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9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9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9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9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9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9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9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9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9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9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9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9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9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9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9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9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9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19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Jonathan Rodriguez</v>
      </c>
      <c r="T148" s="119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9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9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9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9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9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9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9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9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9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9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9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9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9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9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9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9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9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9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9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9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9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9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9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9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9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9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9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9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9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9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9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9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9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9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9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9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9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9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8:</v>
      </c>
      <c r="S150" s="119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Viabilidad</v>
      </c>
      <c r="T150" s="119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9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9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9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9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9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9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9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9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9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9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9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9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9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9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9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9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9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9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19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Analizar la factibilidad técnica, económica y operativa del proyecto.</v>
      </c>
      <c r="T151" s="119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9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9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9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9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9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9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9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9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9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9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9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9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9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9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9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9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9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9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19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46146</v>
      </c>
      <c r="T152" s="119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9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9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9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9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9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9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9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9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9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9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9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9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9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9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9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9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9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9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19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46147</v>
      </c>
      <c r="T153" s="119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9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9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9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9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9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9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9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9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9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9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9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9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9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9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9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9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9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9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19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46148</v>
      </c>
      <c r="T154" s="119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9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9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9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9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9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9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9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9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9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9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9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9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9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9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9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9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9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9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19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3 días</v>
      </c>
      <c r="T155" s="119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9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9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9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9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9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9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9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9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9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9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9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9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9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9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9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9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9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9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19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1 días</v>
      </c>
      <c r="T156" s="119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9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9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9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9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9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9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9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9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9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9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9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9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9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9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9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9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9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9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19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Joel Tapia</v>
      </c>
      <c r="T157" s="119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9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9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9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9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9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9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9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9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9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9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9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9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9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9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9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9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9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9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9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9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9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9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9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9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9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9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9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9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9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9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9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9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9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9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9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9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9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9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7:</v>
      </c>
      <c r="S159" s="119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>Resultados Esperados</v>
      </c>
      <c r="T159" s="119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9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9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9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9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9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9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9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9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9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9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9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9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9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9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9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9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9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9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19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>Definir los beneficios y productos concretos que se obtendrán al finalizar.</v>
      </c>
      <c r="T160" s="119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9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9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9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9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9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9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9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9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9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9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9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9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9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9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9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9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9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9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19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46146</v>
      </c>
      <c r="T161" s="119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9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9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9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9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9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9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9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9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9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9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9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9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9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9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9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9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9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9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19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46147</v>
      </c>
      <c r="T162" s="119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9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9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9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9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9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9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9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9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9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9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9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9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9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9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9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9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9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9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19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46148</v>
      </c>
      <c r="T163" s="119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9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9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9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9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9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9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9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9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9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9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9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9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9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9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9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9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9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9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19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3 días</v>
      </c>
      <c r="T164" s="119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9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9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9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9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9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9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9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9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9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9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9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9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9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9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9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9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9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9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19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1 días</v>
      </c>
      <c r="T165" s="119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9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9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9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9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9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9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9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9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9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9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9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9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9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9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9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9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9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9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19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Joel Tapia</v>
      </c>
      <c r="T166" s="119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9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9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9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9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9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9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9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9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9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9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9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9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9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9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9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9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9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9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9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9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9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9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9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9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9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9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9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9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9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9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9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9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9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9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9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9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9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9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6:</v>
      </c>
      <c r="S168" s="119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>Ideas a Defender</v>
      </c>
      <c r="T168" s="119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9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9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9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9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9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9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9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9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9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9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9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9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9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9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9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9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9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9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19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>Enumerar las tesis o postulados clave que se defenderán a lo largo del proyecto.</v>
      </c>
      <c r="T169" s="119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9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9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9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9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9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9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9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9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9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9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9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9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9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9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9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9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9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9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19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46146</v>
      </c>
      <c r="T170" s="119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9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9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9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9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9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9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9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9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9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9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9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9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9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9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9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9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9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9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19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46147</v>
      </c>
      <c r="T171" s="119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9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9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9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9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9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9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9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9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9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9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9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9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9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9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9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9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9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9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19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46148</v>
      </c>
      <c r="T172" s="119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9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9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9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9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9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9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9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9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9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9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9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9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9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9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9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9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9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9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19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3 días</v>
      </c>
      <c r="T173" s="119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9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9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9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9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9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9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9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9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9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9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9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9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9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9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9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9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9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9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19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1 días</v>
      </c>
      <c r="T174" s="119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9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9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9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9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9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9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9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9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9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9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9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9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9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9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9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9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9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9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19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>Vicente Sanchez</v>
      </c>
      <c r="T175" s="119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9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9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9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9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9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9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9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9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9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9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9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9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9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9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9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9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9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9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9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9" t="e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>#VALUE!</v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9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9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9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9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9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9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9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9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9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9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9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9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9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9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9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9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9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9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>Tarea 5:</v>
      </c>
      <c r="S177" s="119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>Metodologia</v>
      </c>
      <c r="T177" s="119" t="e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>#VALUE!</v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9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9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9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9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9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9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9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9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9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9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9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9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9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9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9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9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9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9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>Descripción:</v>
      </c>
      <c r="S178" s="119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>Describir el enfoque, técnicas y herramientas a utilizar en el desarrollo.</v>
      </c>
      <c r="T178" s="119" t="e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>#VALUE!</v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9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9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9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9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9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9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9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9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9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9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9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9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9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9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9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9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9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9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>Inicio:</v>
      </c>
      <c r="S179" s="119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>46145</v>
      </c>
      <c r="T179" s="119" t="e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>#VALUE!</v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9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9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9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9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9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9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9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9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9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9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9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9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9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9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9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9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9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9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>Previsto:</v>
      </c>
      <c r="S180" s="119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>46146</v>
      </c>
      <c r="T180" s="119" t="e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>#VALUE!</v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9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9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9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9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9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9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9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9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9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9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9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9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9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9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9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9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9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9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>Final:</v>
      </c>
      <c r="S181" s="119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>46146</v>
      </c>
      <c r="T181" s="119" t="e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>#VALUE!</v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9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9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9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9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9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9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9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9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9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9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9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9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9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9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9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9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9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9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>Duración:</v>
      </c>
      <c r="S182" s="119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>2 días</v>
      </c>
      <c r="T182" s="119" t="e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>#VALUE!</v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9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9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9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9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9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9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9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9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9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9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9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9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9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9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9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9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9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9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>Retraso:</v>
      </c>
      <c r="S183" s="119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>0 días</v>
      </c>
      <c r="T183" s="119" t="e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>#VALUE!</v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9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9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9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9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9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9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9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9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9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9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9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9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9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9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9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9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9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9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>Asignado:</v>
      </c>
      <c r="S184" s="119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>Vicente Sanchez</v>
      </c>
      <c r="T184" s="119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9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9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9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9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9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9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9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9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9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9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9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9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9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9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9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9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9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9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9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9" t="e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>#VALUE!</v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9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9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9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9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9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9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9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9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9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9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9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9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9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9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9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9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9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9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>Tarea 4:</v>
      </c>
      <c r="S186" s="119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>Alcance</v>
      </c>
      <c r="T186" s="119" t="e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>#VALUE!</v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9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9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9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9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9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9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9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9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9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9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9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9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9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9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9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9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9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9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>Descripción:</v>
      </c>
      <c r="S187" s="119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>Delimitar los límites del proyecto: qué incluye y qué excluye.</v>
      </c>
      <c r="T187" s="119" t="e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>#VALUE!</v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9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9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9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9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9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9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9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9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9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9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9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9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9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9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9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9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9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9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>Inicio:</v>
      </c>
      <c r="S188" s="119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>46145</v>
      </c>
      <c r="T188" s="119" t="e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>#VALUE!</v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9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9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9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9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9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9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9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9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9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9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9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9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9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9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9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9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9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9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>Previsto:</v>
      </c>
      <c r="S189" s="119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>46146</v>
      </c>
      <c r="T189" s="119" t="e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>#VALUE!</v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9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9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9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9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9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9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9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9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9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9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9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9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9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9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9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9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9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9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>Final:</v>
      </c>
      <c r="S190" s="119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>46146</v>
      </c>
      <c r="T190" s="119" t="e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>#VALUE!</v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9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9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9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9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9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9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9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9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9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9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9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9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9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9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9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9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9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9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>Duración:</v>
      </c>
      <c r="S191" s="119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>2 días</v>
      </c>
      <c r="T191" s="119" t="e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>#VALUE!</v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9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9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9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9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9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9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9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9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9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9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9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9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9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9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9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9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9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9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>Retraso:</v>
      </c>
      <c r="S192" s="119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>0 días</v>
      </c>
      <c r="T192" s="119" t="e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>#VALUE!</v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9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9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9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9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9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9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9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9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9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9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9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9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9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9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9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9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9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9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>Asignado:</v>
      </c>
      <c r="S193" s="119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>Vicente Sanchez</v>
      </c>
      <c r="T193" s="119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9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9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9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9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9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9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9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9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9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9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9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9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9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9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9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9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9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9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9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9" t="e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>#VALUE!</v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9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9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9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9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9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9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9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9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9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9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9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9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9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9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9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9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9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9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>Tarea 3:</v>
      </c>
      <c r="S195" s="119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>Objetivos</v>
      </c>
      <c r="T195" s="119" t="e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>#VALUE!</v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9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9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9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9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9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9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9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9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9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9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9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9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9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9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9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9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9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9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>Descripción:</v>
      </c>
      <c r="S196" s="119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>Establecer los objetivos generales y específicos del proyecto.</v>
      </c>
      <c r="T196" s="119" t="e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>#VALUE!</v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9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9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9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9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9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9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9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9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9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9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9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9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9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9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9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9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9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9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>Inicio:</v>
      </c>
      <c r="S197" s="119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>46145</v>
      </c>
      <c r="T197" s="119" t="e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>#VALUE!</v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9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9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9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9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9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9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9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9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9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9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9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9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9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9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9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9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9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9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>Previsto:</v>
      </c>
      <c r="S198" s="119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>46146</v>
      </c>
      <c r="T198" s="119" t="e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>#VALUE!</v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9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9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9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9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9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9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9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9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9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9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9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9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9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9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9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9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9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9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>Final:</v>
      </c>
      <c r="S199" s="119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>46146</v>
      </c>
      <c r="T199" s="119" t="e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>#VALUE!</v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9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9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9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9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9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9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9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9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9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9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9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9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9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9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9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9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9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9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>Duración:</v>
      </c>
      <c r="S200" s="119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>2 días</v>
      </c>
      <c r="T200" s="119" t="e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>#VALUE!</v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9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9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9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9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9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9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9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9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9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9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9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9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.75" thickBot="1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21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21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21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21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21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21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>Retraso:</v>
      </c>
      <c r="S201" s="121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>0 días</v>
      </c>
      <c r="T201" s="121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21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21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21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21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21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21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21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21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21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21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21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21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/>
  </sheetData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topLeftCell="E1" zoomScale="122" zoomScaleNormal="122" workbookViewId="0">
      <pane ySplit="1" topLeftCell="A2" activePane="bottomLeft" state="frozen"/>
      <selection pane="bottomLeft" activeCell="A19" sqref="A19"/>
    </sheetView>
  </sheetViews>
  <sheetFormatPr baseColWidth="10" defaultColWidth="0" defaultRowHeight="15" zeroHeight="1"/>
  <cols>
    <col min="1" max="1" width="15.5703125" style="3" customWidth="1"/>
    <col min="2" max="2" width="13.5703125" style="3" bestFit="1" customWidth="1"/>
    <col min="3" max="4" width="32.5703125" style="3" customWidth="1"/>
    <col min="5" max="5" width="12.5703125" style="4" customWidth="1"/>
    <col min="6" max="6" width="14.140625" style="4" bestFit="1" customWidth="1"/>
    <col min="7" max="8" width="12.5703125" style="4" customWidth="1"/>
    <col min="9" max="9" width="13.5703125" style="4" bestFit="1" customWidth="1"/>
    <col min="10" max="10" width="32.5703125" style="3" customWidth="1"/>
    <col min="11" max="11" width="10.85546875" style="3" customWidth="1"/>
    <col min="12" max="16384" width="10.85546875" style="2" hidden="1"/>
  </cols>
  <sheetData>
    <row r="1" spans="1:11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42.75">
      <c r="A2" s="91" t="s">
        <v>2</v>
      </c>
      <c r="B2" s="92" t="s">
        <v>3</v>
      </c>
      <c r="C2" s="101" t="s">
        <v>4</v>
      </c>
      <c r="D2" s="109" t="s">
        <v>5</v>
      </c>
      <c r="E2" s="100">
        <v>46142</v>
      </c>
      <c r="F2" s="93">
        <v>46143</v>
      </c>
      <c r="G2" s="93">
        <v>46144</v>
      </c>
      <c r="H2" s="43" t="str">
        <f>IF(Datos!$G2&gt;0,Datos!$G2-Datos!$E2+1 &amp; " " &amp; Idiomas!$A$29,"")</f>
        <v>3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1 días</v>
      </c>
      <c r="J2" s="92" t="s">
        <v>6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42.75">
      <c r="A3" s="94" t="s">
        <v>2</v>
      </c>
      <c r="B3" s="95" t="s">
        <v>3</v>
      </c>
      <c r="C3" s="3" t="s">
        <v>7</v>
      </c>
      <c r="D3" s="110" t="s">
        <v>8</v>
      </c>
      <c r="E3" s="111">
        <v>46144</v>
      </c>
      <c r="F3" s="112">
        <v>46145</v>
      </c>
      <c r="G3" s="112">
        <v>46145</v>
      </c>
      <c r="H3" s="45" t="str">
        <f>IF(Datos!$G3&gt;0,Datos!$G3-Datos!$E3+1 &amp; " " &amp; Idiomas!$A$29,"")</f>
        <v>2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6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ht="42.75">
      <c r="A4" s="91" t="s">
        <v>2</v>
      </c>
      <c r="B4" s="92" t="s">
        <v>3</v>
      </c>
      <c r="C4" s="92" t="s">
        <v>9</v>
      </c>
      <c r="D4" s="109" t="s">
        <v>10</v>
      </c>
      <c r="E4" s="113">
        <v>46145</v>
      </c>
      <c r="F4" s="114">
        <v>46146</v>
      </c>
      <c r="G4" s="114">
        <v>46146</v>
      </c>
      <c r="H4" s="43" t="str">
        <f>IF(Datos!$G4&gt;0,Datos!$G4-Datos!$E4+1 &amp; " " &amp; Idiomas!$A$29,"")</f>
        <v>2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6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ht="28.5">
      <c r="A5" s="94" t="s">
        <v>2</v>
      </c>
      <c r="B5" s="95" t="s">
        <v>3</v>
      </c>
      <c r="C5" s="3" t="s">
        <v>11</v>
      </c>
      <c r="D5" s="110" t="s">
        <v>12</v>
      </c>
      <c r="E5" s="112">
        <v>46145</v>
      </c>
      <c r="F5" s="112">
        <v>46146</v>
      </c>
      <c r="G5" s="112">
        <v>46146</v>
      </c>
      <c r="H5" s="45" t="str">
        <f>IF(Datos!$G5&gt;0,Datos!$G5-Datos!$E5+1 &amp; " " &amp; Idiomas!$A$29,"")</f>
        <v>2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13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42.75">
      <c r="A6" s="91" t="s">
        <v>2</v>
      </c>
      <c r="B6" s="92" t="s">
        <v>3</v>
      </c>
      <c r="C6" s="103" t="s">
        <v>14</v>
      </c>
      <c r="D6" s="109" t="s">
        <v>15</v>
      </c>
      <c r="E6" s="114">
        <v>46145</v>
      </c>
      <c r="F6" s="114">
        <v>46146</v>
      </c>
      <c r="G6" s="114">
        <v>46146</v>
      </c>
      <c r="H6" s="43" t="str">
        <f>IF(Datos!$G6&gt;0,Datos!$G6-Datos!$E6+1 &amp; " " &amp; Idiomas!$A$29,"")</f>
        <v>2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13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ht="42.75">
      <c r="A7" s="94" t="s">
        <v>2</v>
      </c>
      <c r="B7" s="95" t="s">
        <v>3</v>
      </c>
      <c r="C7" s="102" t="s">
        <v>16</v>
      </c>
      <c r="D7" s="110" t="s">
        <v>17</v>
      </c>
      <c r="E7" s="112">
        <v>46146</v>
      </c>
      <c r="F7" s="112">
        <v>46147</v>
      </c>
      <c r="G7" s="112">
        <v>46148</v>
      </c>
      <c r="H7" s="45" t="str">
        <f>IF(Datos!$G7&gt;0,Datos!$G7-Datos!$E7+1 &amp; " " &amp; Idiomas!$A$29,"")</f>
        <v>3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1 días</v>
      </c>
      <c r="J7" s="95" t="s">
        <v>13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42.75">
      <c r="A8" s="91" t="s">
        <v>2</v>
      </c>
      <c r="B8" s="92" t="s">
        <v>3</v>
      </c>
      <c r="C8" s="105" t="s">
        <v>18</v>
      </c>
      <c r="D8" s="109" t="s">
        <v>19</v>
      </c>
      <c r="E8" s="114">
        <v>46146</v>
      </c>
      <c r="F8" s="114">
        <v>46147</v>
      </c>
      <c r="G8" s="114">
        <v>46148</v>
      </c>
      <c r="H8" s="43" t="str">
        <f>IF(Datos!$G8&gt;0,Datos!$G8-Datos!$E8+1 &amp; " " &amp; Idiomas!$A$29,"")</f>
        <v>3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1 días</v>
      </c>
      <c r="J8" s="92" t="s">
        <v>20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ht="42.75">
      <c r="A9" s="94" t="s">
        <v>2</v>
      </c>
      <c r="B9" s="92" t="s">
        <v>3</v>
      </c>
      <c r="C9" s="102" t="s">
        <v>21</v>
      </c>
      <c r="D9" s="110" t="s">
        <v>22</v>
      </c>
      <c r="E9" s="112">
        <v>46146</v>
      </c>
      <c r="F9" s="112">
        <v>46147</v>
      </c>
      <c r="G9" s="112">
        <v>46148</v>
      </c>
      <c r="H9" s="45" t="str">
        <f>IF(Datos!$G9&gt;0,Datos!$G9-Datos!$E9+1 &amp; " " &amp; Idiomas!$A$29,"")</f>
        <v>3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1 días</v>
      </c>
      <c r="J9" s="95" t="s">
        <v>20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ht="42.75">
      <c r="A10" s="91" t="s">
        <v>2</v>
      </c>
      <c r="B10" s="92" t="s">
        <v>23</v>
      </c>
      <c r="C10" s="103" t="s">
        <v>24</v>
      </c>
      <c r="D10" s="109" t="s">
        <v>25</v>
      </c>
      <c r="E10" s="114">
        <v>46148</v>
      </c>
      <c r="F10" s="114">
        <v>46148</v>
      </c>
      <c r="G10" s="114">
        <v>46148</v>
      </c>
      <c r="H10" s="43" t="str">
        <f>IF(Datos!$G10&gt;0,Datos!$G10-Datos!$E10+1 &amp; " " &amp; Idiomas!$A$29,"")</f>
        <v>1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26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ht="42.75">
      <c r="A11" s="94" t="s">
        <v>2</v>
      </c>
      <c r="B11" s="95" t="s">
        <v>27</v>
      </c>
      <c r="C11" s="102" t="s">
        <v>28</v>
      </c>
      <c r="D11" s="110" t="s">
        <v>29</v>
      </c>
      <c r="E11" s="115">
        <v>46149</v>
      </c>
      <c r="F11" s="112">
        <v>46149</v>
      </c>
      <c r="G11" s="112">
        <v>46149</v>
      </c>
      <c r="H11" s="45" t="str">
        <f>IF(Datos!$G11&gt;0,Datos!$G11-Datos!$E11+1 &amp; " " &amp; Idiomas!$A$29,"")</f>
        <v>1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30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42.75">
      <c r="A12" s="91" t="s">
        <v>2</v>
      </c>
      <c r="B12" s="92" t="s">
        <v>23</v>
      </c>
      <c r="C12" s="103" t="s">
        <v>31</v>
      </c>
      <c r="D12" s="109" t="s">
        <v>32</v>
      </c>
      <c r="E12" s="116">
        <v>46150</v>
      </c>
      <c r="F12" s="114">
        <v>46150</v>
      </c>
      <c r="G12" s="114">
        <v>46150</v>
      </c>
      <c r="H12" s="43" t="str">
        <f>IF(Datos!$G12&gt;0,Datos!$G12-Datos!$E12+1 &amp; " " &amp; Idiomas!$A$29,"")</f>
        <v>1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6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42.75">
      <c r="A13" s="94" t="s">
        <v>2</v>
      </c>
      <c r="B13" s="95" t="s">
        <v>23</v>
      </c>
      <c r="C13" s="104" t="s">
        <v>33</v>
      </c>
      <c r="D13" s="110" t="s">
        <v>34</v>
      </c>
      <c r="E13" s="112">
        <v>46150</v>
      </c>
      <c r="F13" s="112">
        <v>46150</v>
      </c>
      <c r="G13" s="112">
        <v>46150</v>
      </c>
      <c r="H13" s="45" t="str">
        <f>IF(Datos!$G13&gt;0,Datos!$G13-Datos!$E13+1 &amp; " " &amp; Idiomas!$A$29,"")</f>
        <v>1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30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42.75">
      <c r="A14" s="91" t="s">
        <v>2</v>
      </c>
      <c r="B14" s="92" t="s">
        <v>23</v>
      </c>
      <c r="C14" s="103" t="s">
        <v>35</v>
      </c>
      <c r="D14" s="109" t="s">
        <v>36</v>
      </c>
      <c r="E14" s="114">
        <v>46153</v>
      </c>
      <c r="F14" s="93">
        <v>46154</v>
      </c>
      <c r="G14" s="114">
        <v>46154</v>
      </c>
      <c r="H14" s="43" t="str">
        <f>IF(Datos!$G14&gt;0,Datos!$G14-Datos!$E14+1 &amp; " " &amp; Idiomas!$A$29,"")</f>
        <v>2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26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ht="42.75">
      <c r="A15" s="94" t="s">
        <v>2</v>
      </c>
      <c r="B15" s="95" t="s">
        <v>27</v>
      </c>
      <c r="C15" s="102" t="s">
        <v>37</v>
      </c>
      <c r="D15" s="110" t="s">
        <v>38</v>
      </c>
      <c r="E15" s="112">
        <v>46156</v>
      </c>
      <c r="F15" s="112">
        <v>46156</v>
      </c>
      <c r="G15" s="112">
        <v>46156</v>
      </c>
      <c r="H15" s="45" t="str">
        <f>IF(Datos!$G15&gt;0,Datos!$G15-Datos!$E15+1 &amp; " " &amp; Idiomas!$A$29,"")</f>
        <v>1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26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42.75">
      <c r="A16" s="91" t="s">
        <v>2</v>
      </c>
      <c r="B16" s="92" t="s">
        <v>23</v>
      </c>
      <c r="C16" s="108" t="s">
        <v>39</v>
      </c>
      <c r="D16" s="109" t="s">
        <v>40</v>
      </c>
      <c r="E16" s="114">
        <v>46156</v>
      </c>
      <c r="F16" s="114">
        <v>46157</v>
      </c>
      <c r="G16" s="114">
        <v>46157</v>
      </c>
      <c r="H16" s="43" t="str">
        <f>IF(Datos!$G16&gt;0,Datos!$G16-Datos!$E16+1 &amp; " " &amp; Idiomas!$A$29,"")</f>
        <v>2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6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ht="42.75">
      <c r="A17" s="94" t="s">
        <v>2</v>
      </c>
      <c r="B17" s="95" t="s">
        <v>23</v>
      </c>
      <c r="C17" s="102" t="s">
        <v>41</v>
      </c>
      <c r="D17" s="110" t="s">
        <v>42</v>
      </c>
      <c r="E17" s="112">
        <v>46160</v>
      </c>
      <c r="F17" s="112">
        <v>46160</v>
      </c>
      <c r="G17" s="112">
        <v>46160</v>
      </c>
      <c r="H17" s="45" t="str">
        <f>IF(Datos!$G17&gt;0,Datos!$G17-Datos!$E17+1 &amp; " " &amp; Idiomas!$A$29,"")</f>
        <v>1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43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ht="28.5">
      <c r="A18" s="91" t="s">
        <v>2</v>
      </c>
      <c r="B18" s="92" t="s">
        <v>23</v>
      </c>
      <c r="C18" s="105" t="s">
        <v>44</v>
      </c>
      <c r="D18" s="109" t="s">
        <v>45</v>
      </c>
      <c r="E18" s="114">
        <v>46169</v>
      </c>
      <c r="F18" s="114">
        <v>46169</v>
      </c>
      <c r="G18" s="114">
        <v>46169</v>
      </c>
      <c r="H18" s="43" t="str">
        <f>IF(Datos!$G18&gt;0,Datos!$G18-Datos!$E18+1 &amp; " " &amp; Idiomas!$A$29,"")</f>
        <v>1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30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ht="30">
      <c r="A19" s="94" t="s">
        <v>2</v>
      </c>
      <c r="B19" s="95" t="s">
        <v>23</v>
      </c>
      <c r="C19" s="102" t="s">
        <v>46</v>
      </c>
      <c r="D19" s="101" t="s">
        <v>47</v>
      </c>
      <c r="E19" s="112">
        <v>46169</v>
      </c>
      <c r="F19" s="112">
        <v>46169</v>
      </c>
      <c r="G19" s="112">
        <v>46169</v>
      </c>
      <c r="H19" s="45" t="str">
        <f>IF(Datos!$G19&gt;0,Datos!$G19-Datos!$E19+1 &amp; " " &amp; Idiomas!$A$29,"")</f>
        <v>1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/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ht="42.75">
      <c r="A20" s="91" t="s">
        <v>2</v>
      </c>
      <c r="B20" s="92" t="s">
        <v>23</v>
      </c>
      <c r="C20" s="105" t="s">
        <v>48</v>
      </c>
      <c r="D20" s="109" t="s">
        <v>49</v>
      </c>
      <c r="E20" s="114">
        <v>46172</v>
      </c>
      <c r="F20" s="114">
        <v>46173</v>
      </c>
      <c r="G20" s="114">
        <v>46173</v>
      </c>
      <c r="H20" s="43" t="str">
        <f>IF(Datos!$G20&gt;0,Datos!$G20-Datos!$E20+1 &amp; " " &amp; Idiomas!$A$29,"")</f>
        <v>2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13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ht="28.5">
      <c r="A21" s="94" t="s">
        <v>2</v>
      </c>
      <c r="B21" s="95" t="s">
        <v>23</v>
      </c>
      <c r="C21" s="104" t="s">
        <v>50</v>
      </c>
      <c r="D21" s="110" t="s">
        <v>51</v>
      </c>
      <c r="E21" s="112">
        <v>46172</v>
      </c>
      <c r="F21" s="112">
        <v>46173</v>
      </c>
      <c r="G21" s="112">
        <v>46173</v>
      </c>
      <c r="H21" s="45" t="str">
        <f>IF(Datos!$G21&gt;0,Datos!$G21-Datos!$E21+1 &amp; " " &amp; Idiomas!$A$29,"")</f>
        <v>2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5" t="s">
        <v>26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ht="28.5">
      <c r="A22" s="91" t="s">
        <v>2</v>
      </c>
      <c r="B22" s="92" t="s">
        <v>23</v>
      </c>
      <c r="C22" s="105" t="s">
        <v>52</v>
      </c>
      <c r="D22" s="109" t="s">
        <v>53</v>
      </c>
      <c r="E22" s="114">
        <v>46172</v>
      </c>
      <c r="F22" s="114">
        <v>46173</v>
      </c>
      <c r="G22" s="114">
        <v>46173</v>
      </c>
      <c r="H22" s="43" t="str">
        <f>IF(Datos!$G22&gt;0,Datos!$G22-Datos!$E22+1 &amp; " " &amp; Idiomas!$A$29,"")</f>
        <v>2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26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ht="28.5">
      <c r="A23" s="94" t="s">
        <v>2</v>
      </c>
      <c r="B23" s="95" t="s">
        <v>23</v>
      </c>
      <c r="C23" s="102" t="s">
        <v>54</v>
      </c>
      <c r="D23" s="110" t="s">
        <v>55</v>
      </c>
      <c r="E23" s="112">
        <v>46172</v>
      </c>
      <c r="F23" s="112">
        <v>46173</v>
      </c>
      <c r="G23" s="112">
        <v>46173</v>
      </c>
      <c r="H23" s="45" t="str">
        <f>IF(Datos!$G23&gt;0,Datos!$G23-Datos!$E23+1 &amp; " " &amp; Idiomas!$A$29,"")</f>
        <v>2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95" t="s">
        <v>26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ht="42.75">
      <c r="A24" s="91" t="s">
        <v>2</v>
      </c>
      <c r="B24" s="92" t="s">
        <v>23</v>
      </c>
      <c r="C24" s="105" t="s">
        <v>56</v>
      </c>
      <c r="D24" s="109" t="s">
        <v>57</v>
      </c>
      <c r="E24" s="114">
        <v>46174</v>
      </c>
      <c r="F24" s="114">
        <v>46174</v>
      </c>
      <c r="G24" s="114">
        <v>46174</v>
      </c>
      <c r="H24" s="43" t="str">
        <f>IF(Datos!$G24&gt;0,Datos!$G24-Datos!$E24+1 &amp; " " &amp; Idiomas!$A$29,"")</f>
        <v>1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92" t="s">
        <v>43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ht="42.75">
      <c r="A25" s="94" t="s">
        <v>2</v>
      </c>
      <c r="B25" s="95" t="s">
        <v>23</v>
      </c>
      <c r="C25" s="102" t="s">
        <v>58</v>
      </c>
      <c r="D25" s="110" t="s">
        <v>59</v>
      </c>
      <c r="E25" s="112">
        <v>46177</v>
      </c>
      <c r="F25" s="112">
        <v>46177</v>
      </c>
      <c r="G25" s="112">
        <v>46177</v>
      </c>
      <c r="H25" s="45" t="str">
        <f>IF(Datos!$G25&gt;0,Datos!$G25-Datos!$E25+1 &amp; " " &amp; Idiomas!$A$29,"")</f>
        <v>1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95" t="s">
        <v>30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ht="42.75">
      <c r="A26" s="91" t="s">
        <v>60</v>
      </c>
      <c r="B26" s="92" t="s">
        <v>23</v>
      </c>
      <c r="C26" s="105" t="s">
        <v>61</v>
      </c>
      <c r="D26" s="109" t="s">
        <v>62</v>
      </c>
      <c r="E26" s="114">
        <v>46181</v>
      </c>
      <c r="F26" s="114">
        <v>46182</v>
      </c>
      <c r="G26" s="114">
        <v>46183</v>
      </c>
      <c r="H26" s="43" t="str">
        <f>IF(Datos!$G26&gt;0,Datos!$G26-Datos!$E26+1 &amp; " " &amp; Idiomas!$A$29,"")</f>
        <v>3 días</v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>1 días</v>
      </c>
      <c r="J26" s="92" t="s">
        <v>30</v>
      </c>
      <c r="K26" s="44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customFormat="1" ht="30">
      <c r="A27" s="94" t="s">
        <v>60</v>
      </c>
      <c r="B27" s="95" t="s">
        <v>23</v>
      </c>
      <c r="C27" s="102" t="s">
        <v>63</v>
      </c>
      <c r="D27" s="101" t="s">
        <v>64</v>
      </c>
      <c r="E27" s="112">
        <v>46185</v>
      </c>
      <c r="F27" s="112">
        <v>46186</v>
      </c>
      <c r="G27" s="112">
        <v>46187</v>
      </c>
      <c r="H27" s="45" t="str">
        <f>IF(Datos!$G27&gt;0,Datos!$G27-Datos!$E27+1 &amp; " " &amp; Idiomas!$A$29,"")</f>
        <v>3 días</v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>1 días</v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>Tarea 26</v>
      </c>
    </row>
    <row r="28" spans="1:11" customFormat="1" ht="28.5">
      <c r="A28" s="91" t="s">
        <v>65</v>
      </c>
      <c r="B28" s="92" t="s">
        <v>23</v>
      </c>
      <c r="C28" s="105" t="s">
        <v>66</v>
      </c>
      <c r="D28" s="109" t="s">
        <v>67</v>
      </c>
      <c r="E28" s="114">
        <v>46185</v>
      </c>
      <c r="F28" s="114">
        <v>46186</v>
      </c>
      <c r="G28" s="114">
        <v>46187</v>
      </c>
      <c r="H28" s="43" t="str">
        <f>IF(Datos!$G28&gt;0,Datos!$G28-Datos!$E28+1 &amp; " " &amp; Idiomas!$A$29,"")</f>
        <v>3 días</v>
      </c>
      <c r="I28" s="43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>1 días</v>
      </c>
      <c r="J28" s="92" t="s">
        <v>26</v>
      </c>
      <c r="K28" s="44" t="str" cm="1">
        <f t="array" aca="1" ref="K28" ca="1">HYPERLINK("["&amp;Archivo_Nombre&amp;"]KANBAN!"&amp;IF(Tareas!$P28="","B2",Tareas!$P28),IF(Datos!$A28="","",Idiomas!$A$12&amp;" "&amp;ROW()-1))</f>
        <v>Tarea 27</v>
      </c>
    </row>
    <row r="29" spans="1:11" customFormat="1" ht="28.5">
      <c r="A29" s="91" t="s">
        <v>65</v>
      </c>
      <c r="B29" s="95" t="s">
        <v>23</v>
      </c>
      <c r="C29" s="3" t="s">
        <v>68</v>
      </c>
      <c r="D29" s="109" t="s">
        <v>69</v>
      </c>
      <c r="E29" s="112">
        <v>46185</v>
      </c>
      <c r="F29" s="112">
        <v>46186</v>
      </c>
      <c r="G29" s="112">
        <v>46187</v>
      </c>
      <c r="H29" s="45" t="str">
        <f>IF(Datos!$G29&gt;0,Datos!$G29-Datos!$E29+1 &amp; " " &amp; Idiomas!$A$29,"")</f>
        <v>3 días</v>
      </c>
      <c r="I29" s="45" t="str" cm="1">
        <f t="array" aca="1" ref="I29" ca="1">IF(OR(Datos!$G29="",Datos!$A29=""),"",IF(AND(Datos!$G29=0,Datos!$F29&gt;0,Fecha_Hoy&gt;Datos!$F29),Fecha_Hoy-Datos!$F29,IF(Datos!$F29&lt;Datos!$G29,Datos!$G29-Datos!$F29,0))&amp; " " &amp; Idiomas!$A$29)</f>
        <v>1 días</v>
      </c>
      <c r="J29" s="95" t="s">
        <v>13</v>
      </c>
      <c r="K29" s="46" t="str" cm="1">
        <f t="array" aca="1" ref="K29" ca="1">HYPERLINK("["&amp;Archivo_Nombre&amp;"]KANBAN!"&amp;IF(Tareas!$P29="","B2",Tareas!$P29),IF(Datos!$A29="","",Idiomas!$A$12&amp;" "&amp;ROW()-1))</f>
        <v>Tarea 28</v>
      </c>
    </row>
    <row r="30" spans="1:11" customFormat="1" ht="28.5">
      <c r="A30" s="91" t="s">
        <v>65</v>
      </c>
      <c r="B30" s="92" t="s">
        <v>23</v>
      </c>
      <c r="C30" s="102" t="s">
        <v>70</v>
      </c>
      <c r="D30" s="110" t="s">
        <v>71</v>
      </c>
      <c r="E30" s="114">
        <v>46185</v>
      </c>
      <c r="F30" s="114">
        <v>46186</v>
      </c>
      <c r="G30" s="114">
        <v>46187</v>
      </c>
      <c r="H30" s="43" t="str">
        <f>IF(Datos!$G30&gt;0,Datos!$G30-Datos!$E30+1 &amp; " " &amp; Idiomas!$A$29,"")</f>
        <v>3 días</v>
      </c>
      <c r="I30" s="43" t="str" cm="1">
        <f t="array" aca="1" ref="I30" ca="1">IF(OR(Datos!$G30="",Datos!$A30=""),"",IF(AND(Datos!$G30=0,Datos!$F30&gt;0,Fecha_Hoy&gt;Datos!$F30),Fecha_Hoy-Datos!$F30,IF(Datos!$F30&lt;Datos!$G30,Datos!$G30-Datos!$F30,0))&amp; " " &amp; Idiomas!$A$29)</f>
        <v>1 días</v>
      </c>
      <c r="J30" s="92" t="s">
        <v>20</v>
      </c>
      <c r="K30" s="44" t="str" cm="1">
        <f t="array" aca="1" ref="K30" ca="1">HYPERLINK("["&amp;Archivo_Nombre&amp;"]KANBAN!"&amp;IF(Tareas!$P30="","B2",Tareas!$P30),IF(Datos!$A30="","",Idiomas!$A$12&amp;" "&amp;ROW()-1))</f>
        <v>Tarea 29</v>
      </c>
    </row>
    <row r="31" spans="1:11" customFormat="1" ht="75.75">
      <c r="A31" s="94" t="s">
        <v>72</v>
      </c>
      <c r="B31" s="95" t="s">
        <v>27</v>
      </c>
      <c r="C31" s="102" t="s">
        <v>73</v>
      </c>
      <c r="D31" s="117" t="s">
        <v>74</v>
      </c>
      <c r="E31" s="107">
        <v>46190</v>
      </c>
      <c r="F31" s="107">
        <v>46190</v>
      </c>
      <c r="G31" s="107">
        <v>46190</v>
      </c>
      <c r="H31" s="45" t="str">
        <f>IF(Datos!$G31&gt;0,Datos!$G31-Datos!$E31+1 &amp; " " &amp; Idiomas!$A$29,"")</f>
        <v>1 días</v>
      </c>
      <c r="I31" s="45" t="str" cm="1">
        <f t="array" aca="1" ref="I31" ca="1">IF(OR(Datos!$G31="",Datos!$A31=""),"",IF(AND(Datos!$G31=0,Datos!$F31&gt;0,Fecha_Hoy&gt;Datos!$F31),Fecha_Hoy-Datos!$F31,IF(Datos!$F31&lt;Datos!$G31,Datos!$G31-Datos!$F31,0))&amp; " " &amp; Idiomas!$A$29)</f>
        <v>0 días</v>
      </c>
      <c r="J31" s="95" t="s">
        <v>30</v>
      </c>
      <c r="K31" s="118" t="str" cm="1">
        <f t="array" aca="1" ref="K31" ca="1">HYPERLINK("["&amp;Archivo_Nombre&amp;"]KANBAN!"&amp;IF(Tareas!$P31="","B2",Tareas!$P31),IF(Datos!$A31="","",Idiomas!$A$12&amp;" "&amp;ROW()-1))</f>
        <v>Tarea 30</v>
      </c>
    </row>
    <row r="32" spans="1:11" customFormat="1">
      <c r="A32" s="91"/>
      <c r="B32" s="92"/>
      <c r="C32" s="105"/>
      <c r="D32" s="92"/>
      <c r="E32" s="106"/>
      <c r="F32" s="106"/>
      <c r="G32" s="106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>
      <c r="A33" s="94"/>
      <c r="B33" s="95"/>
      <c r="C33" s="102"/>
      <c r="D33" s="95"/>
      <c r="E33" s="107"/>
      <c r="F33" s="107"/>
      <c r="G33" s="107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>
      <c r="A34" s="91"/>
      <c r="B34" s="92"/>
      <c r="C34" s="105"/>
      <c r="D34" s="92"/>
      <c r="E34" s="106"/>
      <c r="F34" s="106"/>
      <c r="G34" s="106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>
      <c r="A35" s="94"/>
      <c r="B35" s="95"/>
      <c r="C35" s="102"/>
      <c r="D35" s="95"/>
      <c r="E35" s="107"/>
      <c r="F35" s="107"/>
      <c r="G35" s="107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>
      <c r="A36" s="91"/>
      <c r="B36" s="92"/>
      <c r="C36" s="105"/>
      <c r="D36" s="92"/>
      <c r="E36" s="106"/>
      <c r="F36" s="106"/>
      <c r="G36" s="106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>
      <c r="A37" s="94"/>
      <c r="B37" s="95"/>
      <c r="C37" s="102"/>
      <c r="D37" s="95"/>
      <c r="E37" s="107"/>
      <c r="F37" s="107"/>
      <c r="G37" s="107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>
      <c r="A38" s="91"/>
      <c r="B38" s="92"/>
      <c r="C38" s="105"/>
      <c r="D38" s="92"/>
      <c r="E38" s="106"/>
      <c r="F38" s="106"/>
      <c r="G38" s="106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>
      <c r="A39" s="94"/>
      <c r="B39" s="95"/>
      <c r="C39" s="102"/>
      <c r="D39" s="95"/>
      <c r="E39" s="107"/>
      <c r="F39" s="107"/>
      <c r="G39" s="107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>
      <c r="A40" s="91"/>
      <c r="B40" s="92"/>
      <c r="C40" s="105"/>
      <c r="D40" s="92"/>
      <c r="E40" s="106"/>
      <c r="F40" s="106"/>
      <c r="G40" s="106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>
      <c r="A41" s="94"/>
      <c r="B41" s="95"/>
      <c r="C41" s="102"/>
      <c r="D41" s="95"/>
      <c r="E41" s="107"/>
      <c r="F41" s="107"/>
      <c r="G41" s="107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>
      <c r="A42" s="91"/>
      <c r="B42" s="92"/>
      <c r="C42" s="105"/>
      <c r="D42" s="92"/>
      <c r="E42" s="106"/>
      <c r="F42" s="106"/>
      <c r="G42" s="106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>
      <c r="A85" s="94"/>
      <c r="B85" s="95"/>
      <c r="C85" s="101"/>
      <c r="D85" s="101"/>
      <c r="E85" s="96"/>
      <c r="F85" s="96"/>
      <c r="G85" s="96"/>
      <c r="H85" s="45" t="str">
        <f>IF(Datos!$G85&gt;0,Datos!$G85-Datos!$E85+1 &amp; " " &amp; Idiomas!$A$29,"")</f>
        <v/>
      </c>
      <c r="I85" s="45" t="str" cm="1">
        <f t="array" ref="I85">IF(OR(Datos!$G85="",Datos!$A85=""),"",IF(AND(Datos!$G85=0,Datos!$F85&gt;0,Fecha_Hoy&gt;Datos!$F85),Fecha_Hoy-Datos!$F85,IF(Datos!$F85&lt;Datos!$G85,Datos!$G85-Datos!$F85,0))&amp; " " &amp; Idiomas!$A$29)</f>
        <v/>
      </c>
      <c r="J85" s="95"/>
      <c r="K85" s="46" t="str" cm="1">
        <f t="array" aca="1" ref="K85" ca="1">HYPERLINK("["&amp;Archivo_Nombre&amp;"]KANBAN!"&amp;IF(Tareas!$P85="","B2",Tareas!$P85),IF(Datos!$A85="","",Idiomas!$A$12&amp;" "&amp;ROW()-1))</f>
        <v/>
      </c>
    </row>
    <row r="86" spans="1:11" customFormat="1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>
      <c r="A101" s="97"/>
      <c r="B101" s="98"/>
      <c r="C101" s="98"/>
      <c r="D101" s="98"/>
      <c r="E101" s="99"/>
      <c r="F101" s="99"/>
      <c r="G101" s="99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98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46:G101 E2:F2 E48:E101 F14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opLeftCell="A5" workbookViewId="0">
      <selection activeCell="F20" sqref="F20"/>
    </sheetView>
  </sheetViews>
  <sheetFormatPr baseColWidth="10" defaultColWidth="0" defaultRowHeight="15" zeroHeight="1"/>
  <cols>
    <col min="1" max="1" width="4.5703125" style="2" customWidth="1"/>
    <col min="2" max="2" width="16.5703125" style="2" customWidth="1"/>
    <col min="3" max="3" width="4.5703125" style="2" customWidth="1"/>
    <col min="4" max="4" width="16.5703125" style="2" customWidth="1"/>
    <col min="5" max="5" width="4.5703125" style="2" customWidth="1"/>
    <col min="6" max="6" width="32.5703125" style="2" customWidth="1"/>
    <col min="7" max="7" width="4.5703125" style="2" customWidth="1"/>
    <col min="8" max="8" width="16.5703125" style="2" customWidth="1"/>
    <col min="9" max="9" width="4.5703125" customWidth="1"/>
    <col min="10" max="10" width="4.5703125" style="2" customWidth="1"/>
    <col min="11" max="16384" width="10.85546875" style="2" hidden="1"/>
  </cols>
  <sheetData>
    <row r="1" spans="2:9" ht="15" customHeight="1"/>
    <row r="2" spans="2:9" ht="15" customHeight="1">
      <c r="B2" s="124" t="str">
        <f>"                " &amp; Idiomas!$A$2 &amp; " v3 ©️            "</f>
        <v xml:space="preserve">                Tablero KANBAN v3 ©️            </v>
      </c>
      <c r="C2" s="124"/>
      <c r="E2" s="7" t="s">
        <v>75</v>
      </c>
      <c r="F2" s="128" t="str">
        <f>Idiomas!$A$2 &amp; " | #ExcelPedroWave"</f>
        <v>Tablero KANBAN | #ExcelPedroWave</v>
      </c>
      <c r="G2" s="128"/>
      <c r="H2" s="128"/>
    </row>
    <row r="3" spans="2:9" ht="15" customHeight="1">
      <c r="E3" s="8" t="s">
        <v>76</v>
      </c>
      <c r="F3" s="128" t="s">
        <v>77</v>
      </c>
      <c r="G3" s="128"/>
      <c r="H3" s="128"/>
    </row>
    <row r="4" spans="2:9">
      <c r="B4" s="89" t="str">
        <f>Idiomas!$A$3</f>
        <v>Idioma</v>
      </c>
      <c r="E4" s="8" t="s">
        <v>78</v>
      </c>
      <c r="F4" s="129" t="s">
        <v>79</v>
      </c>
      <c r="G4" s="129"/>
      <c r="H4" s="129"/>
    </row>
    <row r="5" spans="2:9" ht="15" customHeight="1">
      <c r="B5" s="90" t="s">
        <v>80</v>
      </c>
      <c r="C5" s="37"/>
      <c r="D5" s="39"/>
      <c r="E5" s="39"/>
      <c r="F5" s="39"/>
    </row>
    <row r="6" spans="2:9" ht="15" customHeight="1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>
      <c r="C7" s="38"/>
      <c r="D7" s="39"/>
      <c r="E7" s="39"/>
      <c r="F7" s="39"/>
    </row>
    <row r="8" spans="2:9" ht="15.75" thickBot="1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81</v>
      </c>
    </row>
    <row r="9" spans="2:9">
      <c r="B9" s="75" t="s">
        <v>65</v>
      </c>
      <c r="D9" s="72" t="s">
        <v>27</v>
      </c>
      <c r="F9" s="68" t="s">
        <v>20</v>
      </c>
      <c r="H9" s="66" t="str">
        <f>Idiomas!$A$12</f>
        <v>Tarea</v>
      </c>
      <c r="I9" s="85">
        <v>1</v>
      </c>
    </row>
    <row r="10" spans="2:9">
      <c r="B10" s="76" t="s">
        <v>60</v>
      </c>
      <c r="D10" s="73" t="s">
        <v>23</v>
      </c>
      <c r="F10" s="69" t="s">
        <v>6</v>
      </c>
      <c r="H10" s="67" t="str">
        <f>Idiomas!$A$13</f>
        <v>Descripción</v>
      </c>
      <c r="I10" s="87">
        <v>2</v>
      </c>
    </row>
    <row r="11" spans="2:9" ht="15.75" thickBot="1">
      <c r="B11" s="77" t="s">
        <v>72</v>
      </c>
      <c r="D11" s="74" t="s">
        <v>3</v>
      </c>
      <c r="F11" s="70" t="s">
        <v>13</v>
      </c>
      <c r="H11" s="79" t="str">
        <f>Idiomas!$A$14</f>
        <v>Inicio</v>
      </c>
      <c r="I11" s="86">
        <v>3</v>
      </c>
    </row>
    <row r="12" spans="2:9">
      <c r="B12" s="76" t="s">
        <v>2</v>
      </c>
      <c r="F12" s="69" t="s">
        <v>26</v>
      </c>
      <c r="H12" s="67" t="str">
        <f>Idiomas!$A$15</f>
        <v>Previsto</v>
      </c>
      <c r="I12" s="87">
        <v>4</v>
      </c>
    </row>
    <row r="13" spans="2:9">
      <c r="B13" s="77" t="s">
        <v>82</v>
      </c>
      <c r="F13" s="70" t="s">
        <v>30</v>
      </c>
      <c r="H13" s="79" t="str">
        <f>Idiomas!$A$16</f>
        <v>Final</v>
      </c>
      <c r="I13" s="86">
        <v>5</v>
      </c>
    </row>
    <row r="14" spans="2:9">
      <c r="B14" s="76" t="s">
        <v>65</v>
      </c>
      <c r="F14" s="68" t="s">
        <v>43</v>
      </c>
      <c r="H14" s="67" t="str">
        <f>Idiomas!$A$17</f>
        <v>Duración</v>
      </c>
      <c r="I14" s="87">
        <v>6</v>
      </c>
    </row>
    <row r="15" spans="2:9">
      <c r="B15" s="77" t="s">
        <v>60</v>
      </c>
      <c r="F15" s="69"/>
      <c r="H15" s="79" t="str">
        <f>Idiomas!$A$18</f>
        <v>Retraso</v>
      </c>
      <c r="I15" s="86">
        <v>7</v>
      </c>
    </row>
    <row r="16" spans="2:9" ht="15.75" thickBot="1">
      <c r="B16" s="76"/>
      <c r="F16" s="70"/>
      <c r="H16" s="80" t="str">
        <f>Idiomas!$A$19</f>
        <v>Asignado</v>
      </c>
      <c r="I16" s="88">
        <v>8</v>
      </c>
    </row>
    <row r="17" spans="2:9">
      <c r="B17" s="77"/>
      <c r="F17" s="70"/>
      <c r="H17" s="82" t="str">
        <f>Idiomas!$A$4</f>
        <v>AVISO:</v>
      </c>
      <c r="I17" s="84" t="s">
        <v>83</v>
      </c>
    </row>
    <row r="18" spans="2:9" ht="15.75" thickBot="1">
      <c r="B18" s="78"/>
      <c r="F18" s="69"/>
      <c r="H18" s="83" t="str">
        <f>Idiomas!$A$31</f>
        <v>Cambiar números del 2 al 8</v>
      </c>
    </row>
    <row r="19" spans="2:9" ht="15.75" thickBot="1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.75" thickBot="1">
      <c r="B20" s="64" t="s">
        <v>72</v>
      </c>
      <c r="F20" s="69"/>
    </row>
    <row r="21" spans="2:9">
      <c r="F21" s="70"/>
    </row>
    <row r="22" spans="2:9" ht="15.75" thickBot="1">
      <c r="B22" s="2" t="str">
        <f>Idiomas!$A$11</f>
        <v>Nombre archivo en Excel para la Web</v>
      </c>
      <c r="F22" s="69"/>
    </row>
    <row r="23" spans="2:9" ht="15.75" thickBot="1">
      <c r="B23" s="125" t="s">
        <v>84</v>
      </c>
      <c r="C23" s="126"/>
      <c r="D23" s="127"/>
      <c r="F23" s="71"/>
    </row>
    <row r="24" spans="2:9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/>
  <cols>
    <col min="1" max="1" width="10.85546875" style="2" customWidth="1"/>
    <col min="2" max="2" width="9.85546875" style="2" bestFit="1" customWidth="1"/>
    <col min="3" max="3" width="10.5703125" style="2" customWidth="1"/>
    <col min="4" max="15" width="8.5703125" style="2" customWidth="1"/>
    <col min="16" max="16" width="16.5703125" style="2" customWidth="1"/>
    <col min="17" max="16384" width="10.85546875" hidden="1"/>
  </cols>
  <sheetData>
    <row r="1" spans="1:16" ht="16.5" thickTop="1" thickBot="1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85</v>
      </c>
      <c r="F1" s="50" t="s">
        <v>86</v>
      </c>
      <c r="G1" s="50" t="s">
        <v>87</v>
      </c>
      <c r="H1" s="50" t="s">
        <v>88</v>
      </c>
      <c r="I1" s="50" t="s">
        <v>89</v>
      </c>
      <c r="J1" s="50" t="s">
        <v>90</v>
      </c>
      <c r="K1" s="50" t="s">
        <v>91</v>
      </c>
      <c r="L1" s="50" t="s">
        <v>92</v>
      </c>
      <c r="M1" s="50" t="s">
        <v>93</v>
      </c>
      <c r="N1" s="50" t="s">
        <v>94</v>
      </c>
      <c r="O1" s="50" t="str">
        <f>Idiomas!$A$21</f>
        <v>Celda</v>
      </c>
      <c r="P1" s="51" t="s">
        <v>95</v>
      </c>
    </row>
    <row r="2" spans="1:16" ht="16.5" thickTop="1" thickBot="1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3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/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/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/>
      </c>
    </row>
    <row r="3" spans="1:16" ht="16.5" thickTop="1" thickBot="1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3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/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/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/>
      </c>
    </row>
    <row r="4" spans="1:16" ht="16.5" thickTop="1" thickBot="1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3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R-195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R-195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R195:R202</v>
      </c>
    </row>
    <row r="5" spans="1:16" ht="16.5" thickTop="1" thickBot="1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3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R-186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R-186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R186:R193</v>
      </c>
    </row>
    <row r="6" spans="1:16" ht="16.5" thickTop="1" thickBot="1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3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R-177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R-177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R177:R184</v>
      </c>
    </row>
    <row r="7" spans="1:16" ht="16.5" thickTop="1" thickBot="1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3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R-168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R-168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R168:R175</v>
      </c>
    </row>
    <row r="8" spans="1:16" ht="16.5" thickTop="1" thickBot="1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3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R-159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R-159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R159:R166</v>
      </c>
    </row>
    <row r="9" spans="1:16" ht="16.5" thickTop="1" thickBot="1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3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R-150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R-150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R150:R157</v>
      </c>
    </row>
    <row r="10" spans="1:16" ht="16.5" thickTop="1" thickBot="1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R-141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R-141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R141:R148</v>
      </c>
    </row>
    <row r="11" spans="1:16" ht="16.5" thickTop="1" thickBot="1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1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R-132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R-132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R132:R139</v>
      </c>
    </row>
    <row r="12" spans="1:16" ht="16.5" thickTop="1" thickBot="1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2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R-123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R-123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R123:R130</v>
      </c>
    </row>
    <row r="13" spans="1:16" ht="16.5" thickTop="1" thickBot="1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2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R-114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R-114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R114:R121</v>
      </c>
    </row>
    <row r="14" spans="1:16" ht="16.5" thickTop="1" thickBot="1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2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R-105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R-105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R105:R112</v>
      </c>
    </row>
    <row r="15" spans="1:16" ht="16.5" thickTop="1" thickBot="1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1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R-96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R-96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R96:R103</v>
      </c>
    </row>
    <row r="16" spans="1:16" ht="16.5" thickTop="1" thickBot="1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2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>R-87</v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R-87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R87:R94</v>
      </c>
    </row>
    <row r="17" spans="1:16" ht="16.5" thickTop="1" thickBot="1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2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>R-78</v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R-78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R78:R85</v>
      </c>
    </row>
    <row r="18" spans="1:16" ht="16.5" thickTop="1" thickBot="1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2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>R-69</v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>R-69</v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R69:R76</v>
      </c>
    </row>
    <row r="19" spans="1:16" ht="16.5" thickTop="1" thickBot="1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2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>R-60</v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>R-60</v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R60:R67</v>
      </c>
    </row>
    <row r="20" spans="1:16" ht="16.5" thickTop="1" thickBot="1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2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>R-51</v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>R-51</v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>R51:R58</v>
      </c>
    </row>
    <row r="21" spans="1:16" ht="16.5" thickTop="1" thickBot="1">
      <c r="A21" s="56" t="str">
        <f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2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>R-42</v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>R-42</v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>R42:R49</v>
      </c>
    </row>
    <row r="22" spans="1:16" ht="16.5" thickTop="1" thickBot="1">
      <c r="A22" s="52" t="str">
        <f>IFERROR(IF(Datos!$A22="","",Idiomas!$A$12&amp;" "&amp;ROW()-1),"")</f>
        <v>Tarea 21</v>
      </c>
      <c r="B22" s="53">
        <f>IFERROR(MATCH(Datos!$A22,Configura!$B$9:$B$18,0),0)</f>
        <v>4</v>
      </c>
      <c r="C22" s="53">
        <f>IFERROR(MATCH(Datos!$B22,Configura!$D$9:$D$11,0),0)</f>
        <v>2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>R-33</v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>R-33</v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>R33:R40</v>
      </c>
    </row>
    <row r="23" spans="1:16" ht="16.5" thickTop="1" thickBot="1">
      <c r="A23" s="56" t="str">
        <f>IFERROR(IF(Datos!$A23="","",Idiomas!$A$12&amp;" "&amp;ROW()-1),"")</f>
        <v>Tarea 22</v>
      </c>
      <c r="B23" s="57">
        <f>IFERROR(MATCH(Datos!$A23,Configura!$B$9:$B$18,0),0)</f>
        <v>4</v>
      </c>
      <c r="C23" s="57">
        <f>IFERROR(MATCH(Datos!$B23,Configura!$D$9:$D$11,0),0)</f>
        <v>2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>R-24</v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>R-24</v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>R24:R31</v>
      </c>
    </row>
    <row r="24" spans="1:16" ht="16.5" thickTop="1" thickBot="1">
      <c r="A24" s="52" t="str">
        <f>IFERROR(IF(Datos!$A24="","",Idiomas!$A$12&amp;" "&amp;ROW()-1),"")</f>
        <v>Tarea 23</v>
      </c>
      <c r="B24" s="53">
        <f>IFERROR(MATCH(Datos!$A24,Configura!$B$9:$B$18,0),0)</f>
        <v>4</v>
      </c>
      <c r="C24" s="53">
        <f>IFERROR(MATCH(Datos!$B24,Configura!$D$9:$D$11,0),0)</f>
        <v>2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>R-15</v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>R-15</v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>R15:R22</v>
      </c>
    </row>
    <row r="25" spans="1:16" ht="16.5" thickTop="1" thickBot="1">
      <c r="A25" s="56" t="str">
        <f>IFERROR(IF(Datos!$A25="","",Idiomas!$A$12&amp;" "&amp;ROW()-1),"")</f>
        <v>Tarea 24</v>
      </c>
      <c r="B25" s="57">
        <f>IFERROR(MATCH(Datos!$A25,Configura!$B$9:$B$18,0),0)</f>
        <v>4</v>
      </c>
      <c r="C25" s="57">
        <f>IFERROR(MATCH(Datos!$B25,Configura!$D$9:$D$11,0),0)</f>
        <v>2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>R-6</v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>R-6</v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>R6:R13</v>
      </c>
    </row>
    <row r="26" spans="1:16" ht="16.5" thickTop="1" thickBot="1">
      <c r="A26" s="52" t="str">
        <f>IFERROR(IF(Datos!$A26="","",Idiomas!$A$12&amp;" "&amp;ROW()-1),"")</f>
        <v>Tarea 25</v>
      </c>
      <c r="B26" s="53">
        <f>IFERROR(MATCH(Datos!$A26,Configura!$B$9:$B$18,0),0)</f>
        <v>2</v>
      </c>
      <c r="C26" s="53">
        <f>IFERROR(MATCH(Datos!$B26,Configura!$D$9:$D$11,0),0)</f>
        <v>2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54" t="str">
        <f t="shared" ca="1" si="3"/>
        <v/>
      </c>
      <c r="F26" s="54" t="str">
        <f t="shared" ca="1" si="3"/>
        <v>H-15</v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>H-15</v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>H15:H22</v>
      </c>
    </row>
    <row r="27" spans="1:16" ht="16.5" thickTop="1" thickBot="1">
      <c r="A27" s="56" t="str">
        <f>IFERROR(IF(Datos!$A27="","",Idiomas!$A$12&amp;" "&amp;ROW()-1),"")</f>
        <v>Tarea 26</v>
      </c>
      <c r="B27" s="57">
        <f>IFERROR(MATCH(Datos!$A27,Configura!$B$9:$B$18,0),0)</f>
        <v>2</v>
      </c>
      <c r="C27" s="57">
        <f>IFERROR(MATCH(Datos!$B27,Configura!$D$9:$D$11,0),0)</f>
        <v>2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1</v>
      </c>
      <c r="E27" s="58" t="str">
        <f t="shared" ca="1" si="3"/>
        <v/>
      </c>
      <c r="F27" s="58" t="str">
        <f t="shared" ca="1" si="3"/>
        <v>H-6</v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>H-6</v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>H6:H13</v>
      </c>
    </row>
    <row r="28" spans="1:16" ht="16.5" thickTop="1" thickBot="1">
      <c r="A28" s="52" t="str">
        <f>IFERROR(IF(Datos!$A28="","",Idiomas!$A$12&amp;" "&amp;ROW()-1),"")</f>
        <v>Tarea 27</v>
      </c>
      <c r="B28" s="53">
        <f>IFERROR(MATCH(Datos!$A28,Configura!$B$9:$B$18,0),0)</f>
        <v>1</v>
      </c>
      <c r="C28" s="53">
        <f>IFERROR(MATCH(Datos!$B28,Configura!$D$9:$D$11,0),0)</f>
        <v>2</v>
      </c>
      <c r="D28" s="53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1</v>
      </c>
      <c r="E28" s="54" t="str">
        <f t="shared" ca="1" si="3"/>
        <v>C-24</v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>C-24</v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>C24:C31</v>
      </c>
    </row>
    <row r="29" spans="1:16" ht="16.5" thickTop="1" thickBot="1">
      <c r="A29" s="56" t="str">
        <f>IFERROR(IF(Datos!$A29="","",Idiomas!$A$12&amp;" "&amp;ROW()-1),"")</f>
        <v>Tarea 28</v>
      </c>
      <c r="B29" s="57">
        <f>IFERROR(MATCH(Datos!$A29,Configura!$B$9:$B$18,0),0)</f>
        <v>1</v>
      </c>
      <c r="C29" s="57">
        <f>IFERROR(MATCH(Datos!$B29,Configura!$D$9:$D$11,0),0)</f>
        <v>2</v>
      </c>
      <c r="D29" s="57" cm="1">
        <f t="array" aca="1" ref="D29" ca="1">IF(AND(Datos!$A29&lt;&gt;"",
OR(miCriticidad="",miCriticidad=$C29),
OR(miAsignado="",miAsignado=Datos!$J29),
OR(miFechaInicio="",Datos!$E29="",Datos!$E29&gt;=miFechaInicio),
OR(miTexto="",IFERROR(SEARCH(miTexto,Datos!$C30),0)&gt;0,IFERROR(SEARCH(miTexto,Datos!$D30),0)&gt;0),
OR(miRetraso="",IFERROR(--LEFT(Datos!$I29,FIND(" ",Datos!$I29)-1),0)&gt;miRetraso),
OR(miDuración="",IFERROR(--LEFT(Datos!$H29,FIND(" ",Datos!$H29)-1),0)&gt;miDuración)),
1,0)</f>
        <v>1</v>
      </c>
      <c r="E29" s="58" t="str">
        <f t="shared" ca="1" si="3"/>
        <v>C-15</v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>C-15</v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>C15:C22</v>
      </c>
    </row>
    <row r="30" spans="1:16" ht="16.5" thickTop="1" thickBot="1">
      <c r="A30" s="52" t="str">
        <f>IFERROR(IF(Datos!$A30="","",Idiomas!$A$12&amp;" "&amp;ROW()-1),"")</f>
        <v>Tarea 29</v>
      </c>
      <c r="B30" s="53">
        <f>IFERROR(MATCH(Datos!$A30,Configura!$B$9:$B$18,0),0)</f>
        <v>1</v>
      </c>
      <c r="C30" s="53">
        <f>IFERROR(MATCH(Datos!$B30,Configura!$D$9:$D$11,0),0)</f>
        <v>2</v>
      </c>
      <c r="D30" s="53" cm="1">
        <f t="array" aca="1" ref="D30" ca="1">IF(AND(Datos!$A30&lt;&gt;"",
OR(miCriticidad="",miCriticidad=$C30),
OR(miAsignado="",miAsignado=Datos!$J30),
OR(miFechaInicio="",Datos!$E30="",Datos!$E30&gt;=miFechaInicio),
OR(miTexto="",IFERROR(SEARCH(miTexto,Datos!#REF!),0)&gt;0,IFERROR(SEARCH(miTexto,Datos!#REF!),0)&gt;0),
OR(miRetraso="",IFERROR(--LEFT(Datos!$I30,FIND(" ",Datos!$I30)-1),0)&gt;miRetraso),
OR(miDuración="",IFERROR(--LEFT(Datos!$H30,FIND(" ",Datos!$H30)-1),0)&gt;miDuración)),
1,0)</f>
        <v>1</v>
      </c>
      <c r="E30" s="54" t="str">
        <f t="shared" ca="1" si="3"/>
        <v>C-6</v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>C-6</v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>C6:C13</v>
      </c>
    </row>
    <row r="31" spans="1:16" ht="16.5" thickTop="1" thickBot="1">
      <c r="A31" s="56" t="str">
        <f>IFERROR(IF(Datos!$A31="","",Idiomas!$A$12&amp;" "&amp;ROW()-1),"")</f>
        <v>Tarea 30</v>
      </c>
      <c r="B31" s="57">
        <f>IFERROR(MATCH(Datos!$A31,Configura!$B$9:$B$18,0),0)</f>
        <v>3</v>
      </c>
      <c r="C31" s="57">
        <f>IFERROR(MATCH(Datos!$B31,Configura!$D$9:$D$11,0),0)</f>
        <v>1</v>
      </c>
      <c r="D31" s="57" cm="1">
        <f t="array" aca="1" ref="D31" ca="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1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>M-6</v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>M-6</v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>M6:M13</v>
      </c>
    </row>
    <row r="32" spans="1:16" ht="16.5" thickTop="1" thickBot="1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6.5" thickTop="1" thickBot="1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6.5" thickTop="1" thickBot="1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6.5" thickTop="1" thickBot="1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6.5" thickTop="1" thickBot="1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6.5" thickTop="1" thickBot="1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6.5" thickTop="1" thickBot="1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6.5" thickTop="1" thickBot="1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6.5" thickTop="1" thickBot="1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6.5" thickTop="1" thickBot="1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6.5" thickTop="1" thickBot="1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6.5" thickTop="1" thickBot="1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6.5" thickTop="1" thickBot="1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6.5" thickTop="1" thickBot="1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6.5" thickTop="1" thickBot="1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6.5" thickTop="1" thickBot="1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6.5" thickTop="1" thickBot="1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6.5" thickTop="1" thickBot="1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6.5" thickTop="1" thickBot="1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6.5" thickTop="1" thickBot="1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6.5" thickTop="1" thickBot="1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6.5" thickTop="1" thickBot="1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6.5" thickTop="1" thickBot="1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6.5" thickTop="1" thickBot="1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6.5" thickTop="1" thickBot="1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6.5" thickTop="1" thickBot="1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6.5" thickTop="1" thickBot="1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6.5" thickTop="1" thickBot="1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6.5" thickTop="1" thickBot="1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6.5" thickTop="1" thickBot="1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6.5" thickTop="1" thickBot="1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6.5" thickTop="1" thickBot="1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6.5" thickTop="1" thickBot="1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6.5" thickTop="1" thickBot="1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6.5" thickTop="1" thickBot="1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6.5" thickTop="1" thickBot="1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6.5" thickTop="1" thickBot="1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6.5" thickTop="1" thickBot="1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6.5" thickTop="1" thickBot="1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6.5" thickTop="1" thickBot="1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6.5" thickTop="1" thickBot="1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6.5" thickTop="1" thickBot="1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6.5" thickTop="1" thickBot="1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6.5" thickTop="1" thickBot="1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6.5" thickTop="1" thickBot="1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6.5" thickTop="1" thickBot="1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6.5" thickTop="1" thickBot="1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6.5" thickTop="1" thickBot="1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6.5" thickTop="1" thickBot="1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6.5" thickTop="1" thickBot="1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6.5" thickTop="1" thickBot="1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6.5" thickTop="1" thickBot="1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6.5" thickTop="1" thickBot="1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6.5" thickTop="1" thickBot="1">
      <c r="A85" s="56" t="str">
        <f>IFERROR(IF(Datos!$A85="","",Idiomas!$A$12&amp;" "&amp;ROW()-1),"")</f>
        <v/>
      </c>
      <c r="B85" s="57">
        <f>IFERROR(MATCH(Datos!$A85,Configura!$B$9:$B$18,0),0)</f>
        <v>0</v>
      </c>
      <c r="C85" s="57">
        <f>IFERROR(MATCH(Datos!$B85,Configura!$D$9:$D$11,0),0)</f>
        <v>0</v>
      </c>
      <c r="D85" s="57" cm="1">
        <f t="array" ref="D85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6.5" thickTop="1" thickBot="1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6.5" thickTop="1" thickBot="1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6.5" thickTop="1" thickBot="1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6.5" thickTop="1" thickBot="1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6.5" thickTop="1" thickBot="1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6.5" thickTop="1" thickBot="1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6.5" thickTop="1" thickBot="1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6.5" thickTop="1" thickBot="1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6.5" thickTop="1" thickBot="1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6.5" thickTop="1" thickBot="1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6.5" thickTop="1" thickBot="1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6.5" thickTop="1" thickBot="1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6.5" thickTop="1" thickBot="1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6.5" thickTop="1" thickBot="1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6.5" thickTop="1" thickBot="1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6.5" thickTop="1" thickBot="1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/>
  <cols>
    <col min="1" max="2" width="4.5703125" style="2" customWidth="1"/>
    <col min="3" max="6" width="4.5703125" style="1" customWidth="1"/>
    <col min="7" max="7" width="4.5703125" style="2" customWidth="1"/>
    <col min="8" max="11" width="4.5703125" style="1" customWidth="1"/>
    <col min="12" max="12" width="4.5703125" style="2" customWidth="1"/>
    <col min="13" max="16" width="4.5703125" style="1" customWidth="1"/>
    <col min="17" max="17" width="4.5703125" style="2" customWidth="1"/>
    <col min="18" max="21" width="4.5703125" style="1" customWidth="1"/>
    <col min="22" max="22" width="4.5703125" style="2" customWidth="1"/>
    <col min="23" max="26" width="4.5703125" style="1" customWidth="1"/>
    <col min="27" max="27" width="4.5703125" style="2" customWidth="1"/>
    <col min="28" max="31" width="4.5703125" style="1" customWidth="1"/>
    <col min="32" max="32" width="4.5703125" style="2" customWidth="1"/>
    <col min="33" max="36" width="4.5703125" style="1" customWidth="1"/>
    <col min="37" max="37" width="4.5703125" style="2" customWidth="1"/>
    <col min="38" max="41" width="4.5703125" style="1" customWidth="1"/>
    <col min="42" max="42" width="4.5703125" style="2" customWidth="1"/>
    <col min="43" max="46" width="4.5703125" style="1" customWidth="1"/>
    <col min="47" max="47" width="4.5703125" style="2" customWidth="1"/>
    <col min="48" max="51" width="4.5703125" style="1" customWidth="1"/>
    <col min="52" max="52" width="4.5703125" style="2" customWidth="1"/>
    <col min="53" max="16384" width="10.85546875" style="2" hidden="1"/>
  </cols>
  <sheetData>
    <row r="1" spans="1:51" s="23" customFormat="1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29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2-1</v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26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2-1</v>
      </c>
      <c r="L3" s="19" t="str">
        <f ca="1"/>
        <v/>
      </c>
      <c r="M3" s="20">
        <v>1</v>
      </c>
      <c r="N3" s="20">
        <f t="shared" ref="N3:N34" ca="1" si="2">IF(M3&gt;M2,IFERROR(IF(P$1="v",SMALL(L$2:L$101,M3),LARGE(L$2:L$101,M3)),""),N2)</f>
        <v>30</v>
      </c>
      <c r="O3" s="20" cm="1">
        <f t="array" aca="1" ref="O3" ca="1">IF(N3="","",IF(N3&lt;&gt;N2,1,IF(O2=misLíneas-2,0,O2+1)))</f>
        <v>1</v>
      </c>
      <c r="P3" s="20" t="str" cm="1">
        <f t="array" aca="1" ref="P3" ca="1">IF(OR(O3=0,O3=""),"",INDEX(misCriticidades,N3)&amp;"-"&amp;IFERROR(MATCH(O3,miOrdenTarjeta,0),0))</f>
        <v>1-1</v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24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>
      <c r="B4" s="19" t="str">
        <f ca="1"/>
        <v/>
      </c>
      <c r="C4" s="20">
        <f t="shared" ref="C4:C9" ca="1" si="10">C3--(E3=0)</f>
        <v>1</v>
      </c>
      <c r="D4" s="20">
        <f t="shared" ca="1" si="0"/>
        <v>29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2-2</v>
      </c>
      <c r="G4" s="19" t="str">
        <f ca="1"/>
        <v/>
      </c>
      <c r="H4" s="20">
        <f t="shared" ref="H4:H67" ca="1" si="11">H3--(J3=0)</f>
        <v>1</v>
      </c>
      <c r="I4" s="20">
        <f t="shared" ca="1" si="1"/>
        <v>26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2-2</v>
      </c>
      <c r="L4" s="19" t="str">
        <f ca="1"/>
        <v/>
      </c>
      <c r="M4" s="20">
        <f t="shared" ref="M4:M67" ca="1" si="12">M3--(O3=0)</f>
        <v>1</v>
      </c>
      <c r="N4" s="20">
        <f t="shared" ca="1" si="2"/>
        <v>30</v>
      </c>
      <c r="O4" s="20" cm="1">
        <f t="array" aca="1" ref="O4" ca="1">IF(N4="","",IF(N4&lt;&gt;N3,1,IF(O3=misLíneas-2,0,O3+1)))</f>
        <v>2</v>
      </c>
      <c r="P4" s="20" t="str" cm="1">
        <f t="array" aca="1" ref="P4" ca="1">IF(OR(O4=0,O4=""),"",INDEX(misCriticidades,N4)&amp;"-"&amp;IFERROR(MATCH(O4,miOrdenTarjeta,0),0))</f>
        <v>1-2</v>
      </c>
      <c r="Q4" s="19">
        <f ca="1"/>
        <v>3</v>
      </c>
      <c r="R4" s="20">
        <f t="shared" ref="R4:R67" ca="1" si="13">R3--(T3=0)</f>
        <v>1</v>
      </c>
      <c r="S4" s="20">
        <f t="shared" ca="1" si="3"/>
        <v>24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>
      <c r="B5" s="19" t="str">
        <f ca="1"/>
        <v/>
      </c>
      <c r="C5" s="20">
        <f t="shared" ca="1" si="10"/>
        <v>1</v>
      </c>
      <c r="D5" s="20">
        <f t="shared" ca="1" si="0"/>
        <v>29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2-3</v>
      </c>
      <c r="G5" s="19" t="str">
        <f ca="1"/>
        <v/>
      </c>
      <c r="H5" s="20">
        <f t="shared" ca="1" si="11"/>
        <v>1</v>
      </c>
      <c r="I5" s="20">
        <f t="shared" ca="1" si="1"/>
        <v>26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2-3</v>
      </c>
      <c r="L5" s="19" t="str">
        <f ca="1"/>
        <v/>
      </c>
      <c r="M5" s="20">
        <f t="shared" ca="1" si="12"/>
        <v>1</v>
      </c>
      <c r="N5" s="20">
        <f t="shared" ca="1" si="2"/>
        <v>30</v>
      </c>
      <c r="O5" s="20" cm="1">
        <f t="array" aca="1" ref="O5" ca="1">IF(N5="","",IF(N5&lt;&gt;N4,1,IF(O4=misLíneas-2,0,O4+1)))</f>
        <v>3</v>
      </c>
      <c r="P5" s="20" t="str" cm="1">
        <f t="array" aca="1" ref="P5" ca="1">IF(OR(O5=0,O5=""),"",INDEX(misCriticidades,N5)&amp;"-"&amp;IFERROR(MATCH(O5,miOrdenTarjeta,0),0))</f>
        <v>1-3</v>
      </c>
      <c r="Q5" s="19">
        <f ca="1"/>
        <v>4</v>
      </c>
      <c r="R5" s="20">
        <f t="shared" ca="1" si="13"/>
        <v>1</v>
      </c>
      <c r="S5" s="20">
        <f t="shared" ca="1" si="3"/>
        <v>24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>
      <c r="B6" s="19" t="str">
        <f ca="1"/>
        <v/>
      </c>
      <c r="C6" s="20">
        <f t="shared" ca="1" si="10"/>
        <v>1</v>
      </c>
      <c r="D6" s="20">
        <f t="shared" ca="1" si="0"/>
        <v>29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2-4</v>
      </c>
      <c r="G6" s="19" t="str">
        <f ca="1"/>
        <v/>
      </c>
      <c r="H6" s="20">
        <f t="shared" ca="1" si="11"/>
        <v>1</v>
      </c>
      <c r="I6" s="20">
        <f t="shared" ca="1" si="1"/>
        <v>26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2-4</v>
      </c>
      <c r="L6" s="19" t="str">
        <f ca="1"/>
        <v/>
      </c>
      <c r="M6" s="20">
        <f t="shared" ca="1" si="12"/>
        <v>1</v>
      </c>
      <c r="N6" s="20">
        <f t="shared" ca="1" si="2"/>
        <v>30</v>
      </c>
      <c r="O6" s="20" cm="1">
        <f t="array" aca="1" ref="O6" ca="1">IF(N6="","",IF(N6&lt;&gt;N5,1,IF(O5=misLíneas-2,0,O5+1)))</f>
        <v>4</v>
      </c>
      <c r="P6" s="20" t="str" cm="1">
        <f t="array" aca="1" ref="P6" ca="1">IF(OR(O6=0,O6=""),"",INDEX(misCriticidades,N6)&amp;"-"&amp;IFERROR(MATCH(O6,miOrdenTarjeta,0),0))</f>
        <v>1-4</v>
      </c>
      <c r="Q6" s="19">
        <f ca="1"/>
        <v>5</v>
      </c>
      <c r="R6" s="20">
        <f t="shared" ca="1" si="13"/>
        <v>1</v>
      </c>
      <c r="S6" s="20">
        <f t="shared" ca="1" si="3"/>
        <v>24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>
      <c r="B7" s="19" t="str">
        <f ca="1"/>
        <v/>
      </c>
      <c r="C7" s="20">
        <f t="shared" ca="1" si="10"/>
        <v>1</v>
      </c>
      <c r="D7" s="20">
        <f t="shared" ca="1" si="0"/>
        <v>29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2-5</v>
      </c>
      <c r="G7" s="19" t="str">
        <f ca="1"/>
        <v/>
      </c>
      <c r="H7" s="20">
        <f t="shared" ca="1" si="11"/>
        <v>1</v>
      </c>
      <c r="I7" s="20">
        <f t="shared" ca="1" si="1"/>
        <v>26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2-5</v>
      </c>
      <c r="L7" s="19" t="str">
        <f ca="1"/>
        <v/>
      </c>
      <c r="M7" s="20">
        <f t="shared" ca="1" si="12"/>
        <v>1</v>
      </c>
      <c r="N7" s="20">
        <f t="shared" ca="1" si="2"/>
        <v>30</v>
      </c>
      <c r="O7" s="20" cm="1">
        <f t="array" aca="1" ref="O7" ca="1">IF(N7="","",IF(N7&lt;&gt;N6,1,IF(O6=misLíneas-2,0,O6+1)))</f>
        <v>5</v>
      </c>
      <c r="P7" s="20" t="str" cm="1">
        <f t="array" aca="1" ref="P7" ca="1">IF(OR(O7=0,O7=""),"",INDEX(misCriticidades,N7)&amp;"-"&amp;IFERROR(MATCH(O7,miOrdenTarjeta,0),0))</f>
        <v>1-5</v>
      </c>
      <c r="Q7" s="19">
        <f ca="1"/>
        <v>6</v>
      </c>
      <c r="R7" s="20">
        <f t="shared" ca="1" si="13"/>
        <v>1</v>
      </c>
      <c r="S7" s="20">
        <f t="shared" ca="1" si="3"/>
        <v>24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>
      <c r="B8" s="19" t="str">
        <f ca="1"/>
        <v/>
      </c>
      <c r="C8" s="20">
        <f t="shared" ca="1" si="10"/>
        <v>1</v>
      </c>
      <c r="D8" s="20">
        <f t="shared" ca="1" si="0"/>
        <v>29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2-6</v>
      </c>
      <c r="G8" s="19" t="str">
        <f ca="1"/>
        <v/>
      </c>
      <c r="H8" s="20">
        <f t="shared" ca="1" si="11"/>
        <v>1</v>
      </c>
      <c r="I8" s="20">
        <f t="shared" ca="1" si="1"/>
        <v>26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2-6</v>
      </c>
      <c r="L8" s="19" t="str">
        <f ca="1"/>
        <v/>
      </c>
      <c r="M8" s="20">
        <f t="shared" ca="1" si="12"/>
        <v>1</v>
      </c>
      <c r="N8" s="20">
        <f t="shared" ca="1" si="2"/>
        <v>30</v>
      </c>
      <c r="O8" s="20" cm="1">
        <f t="array" aca="1" ref="O8" ca="1">IF(N8="","",IF(N8&lt;&gt;N7,1,IF(O7=misLíneas-2,0,O7+1)))</f>
        <v>6</v>
      </c>
      <c r="P8" s="20" t="str" cm="1">
        <f t="array" aca="1" ref="P8" ca="1">IF(OR(O8=0,O8=""),"",INDEX(misCriticidades,N8)&amp;"-"&amp;IFERROR(MATCH(O8,miOrdenTarjeta,0),0))</f>
        <v>1-6</v>
      </c>
      <c r="Q8" s="19">
        <f ca="1"/>
        <v>7</v>
      </c>
      <c r="R8" s="20">
        <f t="shared" ca="1" si="13"/>
        <v>1</v>
      </c>
      <c r="S8" s="20">
        <f t="shared" ca="1" si="3"/>
        <v>24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>
      <c r="B9" s="19" t="str">
        <f ca="1"/>
        <v/>
      </c>
      <c r="C9" s="20">
        <f t="shared" ca="1" si="10"/>
        <v>1</v>
      </c>
      <c r="D9" s="20">
        <f t="shared" ca="1" si="0"/>
        <v>29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2-7</v>
      </c>
      <c r="G9" s="19" t="str">
        <f ca="1"/>
        <v/>
      </c>
      <c r="H9" s="20">
        <f t="shared" ca="1" si="11"/>
        <v>1</v>
      </c>
      <c r="I9" s="20">
        <f t="shared" ca="1" si="1"/>
        <v>26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2-7</v>
      </c>
      <c r="L9" s="19" t="str">
        <f ca="1"/>
        <v/>
      </c>
      <c r="M9" s="20">
        <f t="shared" ca="1" si="12"/>
        <v>1</v>
      </c>
      <c r="N9" s="20">
        <f t="shared" ca="1" si="2"/>
        <v>30</v>
      </c>
      <c r="O9" s="20" cm="1">
        <f t="array" aca="1" ref="O9" ca="1">IF(N9="","",IF(N9&lt;&gt;N8,1,IF(O8=misLíneas-2,0,O8+1)))</f>
        <v>7</v>
      </c>
      <c r="P9" s="20" t="str" cm="1">
        <f t="array" aca="1" ref="P9" ca="1">IF(OR(O9=0,O9=""),"",INDEX(misCriticidades,N9)&amp;"-"&amp;IFERROR(MATCH(O9,miOrdenTarjeta,0),0))</f>
        <v>1-7</v>
      </c>
      <c r="Q9" s="19">
        <f ca="1"/>
        <v>8</v>
      </c>
      <c r="R9" s="20">
        <f t="shared" ca="1" si="13"/>
        <v>1</v>
      </c>
      <c r="S9" s="20">
        <f t="shared" ca="1" si="3"/>
        <v>24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>
      <c r="B10" s="19" t="str">
        <f ca="1"/>
        <v/>
      </c>
      <c r="C10" s="20">
        <f ca="1">C9--(E9=0)</f>
        <v>1</v>
      </c>
      <c r="D10" s="20">
        <f t="shared" ca="1" si="0"/>
        <v>29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2-8</v>
      </c>
      <c r="G10" s="19" t="str">
        <f ca="1"/>
        <v/>
      </c>
      <c r="H10" s="20">
        <f t="shared" ca="1" si="11"/>
        <v>1</v>
      </c>
      <c r="I10" s="20">
        <f t="shared" ca="1" si="1"/>
        <v>26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2-8</v>
      </c>
      <c r="L10" s="19" t="str">
        <f ca="1"/>
        <v/>
      </c>
      <c r="M10" s="20">
        <f t="shared" ca="1" si="12"/>
        <v>1</v>
      </c>
      <c r="N10" s="20">
        <f t="shared" ca="1" si="2"/>
        <v>30</v>
      </c>
      <c r="O10" s="20" cm="1">
        <f t="array" aca="1" ref="O10" ca="1">IF(N10="","",IF(N10&lt;&gt;N9,1,IF(O9=misLíneas-2,0,O9+1)))</f>
        <v>8</v>
      </c>
      <c r="P10" s="20" t="str" cm="1">
        <f t="array" aca="1" ref="P10" ca="1">IF(OR(O10=0,O10=""),"",INDEX(misCriticidades,N10)&amp;"-"&amp;IFERROR(MATCH(O10,miOrdenTarjeta,0),0))</f>
        <v>1-8</v>
      </c>
      <c r="Q10" s="19">
        <f ca="1"/>
        <v>9</v>
      </c>
      <c r="R10" s="20">
        <f t="shared" ca="1" si="13"/>
        <v>1</v>
      </c>
      <c r="S10" s="20">
        <f t="shared" ca="1" si="3"/>
        <v>24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>
      <c r="B11" s="19" t="str">
        <f ca="1"/>
        <v/>
      </c>
      <c r="C11" s="20">
        <f t="shared" ref="C11:C74" ca="1" si="20">C10--(E10=0)</f>
        <v>1</v>
      </c>
      <c r="D11" s="20">
        <f t="shared" ca="1" si="0"/>
        <v>29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26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>
        <f t="shared" ca="1" si="2"/>
        <v>30</v>
      </c>
      <c r="O11" s="20" cm="1">
        <f t="array" aca="1" ref="O11" ca="1">IF(N11="","",IF(N11&lt;&gt;N10,1,IF(O10=misLíneas-2,0,O10+1)))</f>
        <v>0</v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24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>
      <c r="B12" s="19" t="str">
        <f ca="1"/>
        <v/>
      </c>
      <c r="C12" s="20">
        <f t="shared" ca="1" si="20"/>
        <v>2</v>
      </c>
      <c r="D12" s="20">
        <f t="shared" ca="1" si="0"/>
        <v>28</v>
      </c>
      <c r="E12" s="20" cm="1">
        <f t="array" aca="1" ref="E12" ca="1">IF(D12="","",IF(D12&lt;&gt;D11,1,IF(E11=misLíneas-2,0,E11+1)))</f>
        <v>1</v>
      </c>
      <c r="F12" s="20" t="str" cm="1">
        <f t="array" aca="1" ref="F12" ca="1">IF(OR(E12=0,E12=""),"",INDEX(misCriticidades,D12)&amp;"-"&amp;IFERROR(MATCH(E12,miOrdenTarjeta,0),0))</f>
        <v>2-1</v>
      </c>
      <c r="G12" s="19" t="str">
        <f ca="1"/>
        <v/>
      </c>
      <c r="H12" s="20">
        <f t="shared" ca="1" si="11"/>
        <v>2</v>
      </c>
      <c r="I12" s="20">
        <f t="shared" ca="1" si="1"/>
        <v>25</v>
      </c>
      <c r="J12" s="20" cm="1">
        <f t="array" aca="1" ref="J12" ca="1">IF(I12="","",IF(I12&lt;&gt;I11,1,IF(J11=misLíneas-2,0,J11+1)))</f>
        <v>1</v>
      </c>
      <c r="K12" s="20" t="str" cm="1">
        <f t="array" aca="1" ref="K12" ca="1">IF(OR(J12=0,J12=""),"",INDEX(misCriticidades,I12)&amp;"-"&amp;IFERROR(MATCH(J12,miOrdenTarjeta,0),0))</f>
        <v>2-1</v>
      </c>
      <c r="L12" s="19" t="str">
        <f ca="1"/>
        <v/>
      </c>
      <c r="M12" s="20">
        <f t="shared" ca="1" si="12"/>
        <v>2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23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>
      <c r="B13" s="19" t="str">
        <f ca="1"/>
        <v/>
      </c>
      <c r="C13" s="20">
        <f t="shared" ca="1" si="20"/>
        <v>2</v>
      </c>
      <c r="D13" s="20">
        <f t="shared" ca="1" si="0"/>
        <v>28</v>
      </c>
      <c r="E13" s="20" cm="1">
        <f t="array" aca="1" ref="E13" ca="1">IF(D13="","",IF(D13&lt;&gt;D12,1,IF(E12=misLíneas-2,0,E12+1)))</f>
        <v>2</v>
      </c>
      <c r="F13" s="20" t="str" cm="1">
        <f t="array" aca="1" ref="F13" ca="1">IF(OR(E13=0,E13=""),"",INDEX(misCriticidades,D13)&amp;"-"&amp;IFERROR(MATCH(E13,miOrdenTarjeta,0),0))</f>
        <v>2-2</v>
      </c>
      <c r="G13" s="19" t="str">
        <f ca="1"/>
        <v/>
      </c>
      <c r="H13" s="20">
        <f t="shared" ca="1" si="11"/>
        <v>2</v>
      </c>
      <c r="I13" s="20">
        <f t="shared" ca="1" si="1"/>
        <v>25</v>
      </c>
      <c r="J13" s="20" cm="1">
        <f t="array" aca="1" ref="J13" ca="1">IF(I13="","",IF(I13&lt;&gt;I12,1,IF(J12=misLíneas-2,0,J12+1)))</f>
        <v>2</v>
      </c>
      <c r="K13" s="20" t="str" cm="1">
        <f t="array" aca="1" ref="K13" ca="1">IF(OR(J13=0,J13=""),"",INDEX(misCriticidades,I13)&amp;"-"&amp;IFERROR(MATCH(J13,miOrdenTarjeta,0),0))</f>
        <v>2-2</v>
      </c>
      <c r="L13" s="19" t="str">
        <f ca="1"/>
        <v/>
      </c>
      <c r="M13" s="20">
        <f t="shared" ca="1" si="12"/>
        <v>2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23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>
      <c r="B14" s="19" t="str">
        <f ca="1"/>
        <v/>
      </c>
      <c r="C14" s="20">
        <f t="shared" ca="1" si="20"/>
        <v>2</v>
      </c>
      <c r="D14" s="20">
        <f t="shared" ca="1" si="0"/>
        <v>28</v>
      </c>
      <c r="E14" s="20" cm="1">
        <f t="array" aca="1" ref="E14" ca="1">IF(D14="","",IF(D14&lt;&gt;D13,1,IF(E13=misLíneas-2,0,E13+1)))</f>
        <v>3</v>
      </c>
      <c r="F14" s="20" t="str" cm="1">
        <f t="array" aca="1" ref="F14" ca="1">IF(OR(E14=0,E14=""),"",INDEX(misCriticidades,D14)&amp;"-"&amp;IFERROR(MATCH(E14,miOrdenTarjeta,0),0))</f>
        <v>2-3</v>
      </c>
      <c r="G14" s="19" t="str">
        <f ca="1"/>
        <v/>
      </c>
      <c r="H14" s="20">
        <f t="shared" ca="1" si="11"/>
        <v>2</v>
      </c>
      <c r="I14" s="20">
        <f t="shared" ca="1" si="1"/>
        <v>25</v>
      </c>
      <c r="J14" s="20" cm="1">
        <f t="array" aca="1" ref="J14" ca="1">IF(I14="","",IF(I14&lt;&gt;I13,1,IF(J13=misLíneas-2,0,J13+1)))</f>
        <v>3</v>
      </c>
      <c r="K14" s="20" t="str" cm="1">
        <f t="array" aca="1" ref="K14" ca="1">IF(OR(J14=0,J14=""),"",INDEX(misCriticidades,I14)&amp;"-"&amp;IFERROR(MATCH(J14,miOrdenTarjeta,0),0))</f>
        <v>2-3</v>
      </c>
      <c r="L14" s="19" t="str">
        <f ca="1"/>
        <v/>
      </c>
      <c r="M14" s="20">
        <f t="shared" ca="1" si="12"/>
        <v>2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23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>
      <c r="B15" s="19" t="str">
        <f ca="1"/>
        <v/>
      </c>
      <c r="C15" s="20">
        <f t="shared" ca="1" si="20"/>
        <v>2</v>
      </c>
      <c r="D15" s="20">
        <f t="shared" ca="1" si="0"/>
        <v>28</v>
      </c>
      <c r="E15" s="20" cm="1">
        <f t="array" aca="1" ref="E15" ca="1">IF(D15="","",IF(D15&lt;&gt;D14,1,IF(E14=misLíneas-2,0,E14+1)))</f>
        <v>4</v>
      </c>
      <c r="F15" s="20" t="str" cm="1">
        <f t="array" aca="1" ref="F15" ca="1">IF(OR(E15=0,E15=""),"",INDEX(misCriticidades,D15)&amp;"-"&amp;IFERROR(MATCH(E15,miOrdenTarjeta,0),0))</f>
        <v>2-4</v>
      </c>
      <c r="G15" s="19" t="str">
        <f ca="1"/>
        <v/>
      </c>
      <c r="H15" s="20">
        <f t="shared" ca="1" si="11"/>
        <v>2</v>
      </c>
      <c r="I15" s="20">
        <f t="shared" ca="1" si="1"/>
        <v>25</v>
      </c>
      <c r="J15" s="20" cm="1">
        <f t="array" aca="1" ref="J15" ca="1">IF(I15="","",IF(I15&lt;&gt;I14,1,IF(J14=misLíneas-2,0,J14+1)))</f>
        <v>4</v>
      </c>
      <c r="K15" s="20" t="str" cm="1">
        <f t="array" aca="1" ref="K15" ca="1">IF(OR(J15=0,J15=""),"",INDEX(misCriticidades,I15)&amp;"-"&amp;IFERROR(MATCH(J15,miOrdenTarjeta,0),0))</f>
        <v>2-4</v>
      </c>
      <c r="L15" s="19" t="str">
        <f ca="1"/>
        <v/>
      </c>
      <c r="M15" s="20">
        <f t="shared" ca="1" si="12"/>
        <v>2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23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>
      <c r="B16" s="19" t="str">
        <f ca="1"/>
        <v/>
      </c>
      <c r="C16" s="20">
        <f t="shared" ca="1" si="20"/>
        <v>2</v>
      </c>
      <c r="D16" s="20">
        <f t="shared" ca="1" si="0"/>
        <v>28</v>
      </c>
      <c r="E16" s="20" cm="1">
        <f t="array" aca="1" ref="E16" ca="1">IF(D16="","",IF(D16&lt;&gt;D15,1,IF(E15=misLíneas-2,0,E15+1)))</f>
        <v>5</v>
      </c>
      <c r="F16" s="20" t="str" cm="1">
        <f t="array" aca="1" ref="F16" ca="1">IF(OR(E16=0,E16=""),"",INDEX(misCriticidades,D16)&amp;"-"&amp;IFERROR(MATCH(E16,miOrdenTarjeta,0),0))</f>
        <v>2-5</v>
      </c>
      <c r="G16" s="19" t="str">
        <f ca="1"/>
        <v/>
      </c>
      <c r="H16" s="20">
        <f t="shared" ca="1" si="11"/>
        <v>2</v>
      </c>
      <c r="I16" s="20">
        <f t="shared" ca="1" si="1"/>
        <v>25</v>
      </c>
      <c r="J16" s="20" cm="1">
        <f t="array" aca="1" ref="J16" ca="1">IF(I16="","",IF(I16&lt;&gt;I15,1,IF(J15=misLíneas-2,0,J15+1)))</f>
        <v>5</v>
      </c>
      <c r="K16" s="20" t="str" cm="1">
        <f t="array" aca="1" ref="K16" ca="1">IF(OR(J16=0,J16=""),"",INDEX(misCriticidades,I16)&amp;"-"&amp;IFERROR(MATCH(J16,miOrdenTarjeta,0),0))</f>
        <v>2-5</v>
      </c>
      <c r="L16" s="19" t="str">
        <f ca="1"/>
        <v/>
      </c>
      <c r="M16" s="20">
        <f t="shared" ca="1" si="12"/>
        <v>2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23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>
      <c r="B17" s="19" t="str">
        <f ca="1"/>
        <v/>
      </c>
      <c r="C17" s="20">
        <f t="shared" ca="1" si="20"/>
        <v>2</v>
      </c>
      <c r="D17" s="20">
        <f t="shared" ca="1" si="0"/>
        <v>28</v>
      </c>
      <c r="E17" s="20" cm="1">
        <f t="array" aca="1" ref="E17" ca="1">IF(D17="","",IF(D17&lt;&gt;D16,1,IF(E16=misLíneas-2,0,E16+1)))</f>
        <v>6</v>
      </c>
      <c r="F17" s="20" t="str" cm="1">
        <f t="array" aca="1" ref="F17" ca="1">IF(OR(E17=0,E17=""),"",INDEX(misCriticidades,D17)&amp;"-"&amp;IFERROR(MATCH(E17,miOrdenTarjeta,0),0))</f>
        <v>2-6</v>
      </c>
      <c r="G17" s="19" t="str">
        <f ca="1"/>
        <v/>
      </c>
      <c r="H17" s="20">
        <f t="shared" ca="1" si="11"/>
        <v>2</v>
      </c>
      <c r="I17" s="20">
        <f t="shared" ca="1" si="1"/>
        <v>25</v>
      </c>
      <c r="J17" s="20" cm="1">
        <f t="array" aca="1" ref="J17" ca="1">IF(I17="","",IF(I17&lt;&gt;I16,1,IF(J16=misLíneas-2,0,J16+1)))</f>
        <v>6</v>
      </c>
      <c r="K17" s="20" t="str" cm="1">
        <f t="array" aca="1" ref="K17" ca="1">IF(OR(J17=0,J17=""),"",INDEX(misCriticidades,I17)&amp;"-"&amp;IFERROR(MATCH(J17,miOrdenTarjeta,0),0))</f>
        <v>2-6</v>
      </c>
      <c r="L17" s="19" t="str">
        <f ca="1"/>
        <v/>
      </c>
      <c r="M17" s="20">
        <f t="shared" ca="1" si="12"/>
        <v>2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23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>
      <c r="B18" s="19" t="str">
        <f ca="1"/>
        <v/>
      </c>
      <c r="C18" s="20">
        <f t="shared" ca="1" si="20"/>
        <v>2</v>
      </c>
      <c r="D18" s="20">
        <f t="shared" ca="1" si="0"/>
        <v>28</v>
      </c>
      <c r="E18" s="20" cm="1">
        <f t="array" aca="1" ref="E18" ca="1">IF(D18="","",IF(D18&lt;&gt;D17,1,IF(E17=misLíneas-2,0,E17+1)))</f>
        <v>7</v>
      </c>
      <c r="F18" s="20" t="str" cm="1">
        <f t="array" aca="1" ref="F18" ca="1">IF(OR(E18=0,E18=""),"",INDEX(misCriticidades,D18)&amp;"-"&amp;IFERROR(MATCH(E18,miOrdenTarjeta,0),0))</f>
        <v>2-7</v>
      </c>
      <c r="G18" s="19" t="str">
        <f ca="1"/>
        <v/>
      </c>
      <c r="H18" s="20">
        <f t="shared" ca="1" si="11"/>
        <v>2</v>
      </c>
      <c r="I18" s="20">
        <f t="shared" ca="1" si="1"/>
        <v>25</v>
      </c>
      <c r="J18" s="20" cm="1">
        <f t="array" aca="1" ref="J18" ca="1">IF(I18="","",IF(I18&lt;&gt;I17,1,IF(J17=misLíneas-2,0,J17+1)))</f>
        <v>7</v>
      </c>
      <c r="K18" s="20" t="str" cm="1">
        <f t="array" aca="1" ref="K18" ca="1">IF(OR(J18=0,J18=""),"",INDEX(misCriticidades,I18)&amp;"-"&amp;IFERROR(MATCH(J18,miOrdenTarjeta,0),0))</f>
        <v>2-7</v>
      </c>
      <c r="L18" s="19" t="str">
        <f ca="1"/>
        <v/>
      </c>
      <c r="M18" s="20">
        <f t="shared" ca="1" si="12"/>
        <v>2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23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>
      <c r="B19" s="19" t="str">
        <f ca="1"/>
        <v/>
      </c>
      <c r="C19" s="20">
        <f t="shared" ca="1" si="20"/>
        <v>2</v>
      </c>
      <c r="D19" s="20">
        <f t="shared" ca="1" si="0"/>
        <v>28</v>
      </c>
      <c r="E19" s="20" cm="1">
        <f t="array" aca="1" ref="E19" ca="1">IF(D19="","",IF(D19&lt;&gt;D18,1,IF(E18=misLíneas-2,0,E18+1)))</f>
        <v>8</v>
      </c>
      <c r="F19" s="20" t="str" cm="1">
        <f t="array" aca="1" ref="F19" ca="1">IF(OR(E19=0,E19=""),"",INDEX(misCriticidades,D19)&amp;"-"&amp;IFERROR(MATCH(E19,miOrdenTarjeta,0),0))</f>
        <v>2-8</v>
      </c>
      <c r="G19" s="19" t="str">
        <f ca="1"/>
        <v/>
      </c>
      <c r="H19" s="20">
        <f t="shared" ca="1" si="11"/>
        <v>2</v>
      </c>
      <c r="I19" s="20">
        <f t="shared" ca="1" si="1"/>
        <v>25</v>
      </c>
      <c r="J19" s="20" cm="1">
        <f t="array" aca="1" ref="J19" ca="1">IF(I19="","",IF(I19&lt;&gt;I18,1,IF(J18=misLíneas-2,0,J18+1)))</f>
        <v>8</v>
      </c>
      <c r="K19" s="20" t="str" cm="1">
        <f t="array" aca="1" ref="K19" ca="1">IF(OR(J19=0,J19=""),"",INDEX(misCriticidades,I19)&amp;"-"&amp;IFERROR(MATCH(J19,miOrdenTarjeta,0),0))</f>
        <v>2-8</v>
      </c>
      <c r="L19" s="19" t="str">
        <f ca="1"/>
        <v/>
      </c>
      <c r="M19" s="20">
        <f t="shared" ca="1" si="12"/>
        <v>2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23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>
      <c r="B20" s="19" t="str">
        <f ca="1"/>
        <v/>
      </c>
      <c r="C20" s="20">
        <f t="shared" ca="1" si="20"/>
        <v>2</v>
      </c>
      <c r="D20" s="20">
        <f t="shared" ca="1" si="0"/>
        <v>28</v>
      </c>
      <c r="E20" s="20" cm="1">
        <f t="array" aca="1" ref="E20" ca="1">IF(D20="","",IF(D20&lt;&gt;D19,1,IF(E19=misLíneas-2,0,E19+1)))</f>
        <v>0</v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>
        <f t="shared" ca="1" si="1"/>
        <v>25</v>
      </c>
      <c r="J20" s="20" cm="1">
        <f t="array" aca="1" ref="J20" ca="1">IF(I20="","",IF(I20&lt;&gt;I19,1,IF(J19=misLíneas-2,0,J19+1)))</f>
        <v>0</v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2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23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>
      <c r="B21" s="19" t="str">
        <f ca="1"/>
        <v/>
      </c>
      <c r="C21" s="20">
        <f t="shared" ca="1" si="20"/>
        <v>3</v>
      </c>
      <c r="D21" s="20">
        <f t="shared" ca="1" si="0"/>
        <v>27</v>
      </c>
      <c r="E21" s="20" cm="1">
        <f t="array" aca="1" ref="E21" ca="1">IF(D21="","",IF(D21&lt;&gt;D20,1,IF(E20=misLíneas-2,0,E20+1)))</f>
        <v>1</v>
      </c>
      <c r="F21" s="20" t="str" cm="1">
        <f t="array" aca="1" ref="F21" ca="1">IF(OR(E21=0,E21=""),"",INDEX(misCriticidades,D21)&amp;"-"&amp;IFERROR(MATCH(E21,miOrdenTarjeta,0),0))</f>
        <v>2-1</v>
      </c>
      <c r="G21" s="19" t="str">
        <f ca="1"/>
        <v/>
      </c>
      <c r="H21" s="20">
        <f t="shared" ca="1" si="11"/>
        <v>3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2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3</v>
      </c>
      <c r="S21" s="20">
        <f t="shared" ca="1" si="3"/>
        <v>22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>
      <c r="B22" s="19" t="str">
        <f ca="1"/>
        <v/>
      </c>
      <c r="C22" s="20">
        <f t="shared" ca="1" si="20"/>
        <v>3</v>
      </c>
      <c r="D22" s="20">
        <f t="shared" ca="1" si="0"/>
        <v>27</v>
      </c>
      <c r="E22" s="20" cm="1">
        <f t="array" aca="1" ref="E22" ca="1">IF(D22="","",IF(D22&lt;&gt;D21,1,IF(E21=misLíneas-2,0,E21+1)))</f>
        <v>2</v>
      </c>
      <c r="F22" s="20" t="str" cm="1">
        <f t="array" aca="1" ref="F22" ca="1">IF(OR(E22=0,E22=""),"",INDEX(misCriticidades,D22)&amp;"-"&amp;IFERROR(MATCH(E22,miOrdenTarjeta,0),0))</f>
        <v>2-2</v>
      </c>
      <c r="G22" s="19" t="str">
        <f ca="1"/>
        <v/>
      </c>
      <c r="H22" s="20">
        <f t="shared" ca="1" si="11"/>
        <v>3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2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>
        <f ca="1"/>
        <v>21</v>
      </c>
      <c r="R22" s="20">
        <f t="shared" ca="1" si="13"/>
        <v>3</v>
      </c>
      <c r="S22" s="20">
        <f t="shared" ca="1" si="3"/>
        <v>22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>
      <c r="B23" s="19" t="str">
        <f ca="1"/>
        <v/>
      </c>
      <c r="C23" s="20">
        <f t="shared" ca="1" si="20"/>
        <v>3</v>
      </c>
      <c r="D23" s="20">
        <f t="shared" ca="1" si="0"/>
        <v>27</v>
      </c>
      <c r="E23" s="20" cm="1">
        <f t="array" aca="1" ref="E23" ca="1">IF(D23="","",IF(D23&lt;&gt;D22,1,IF(E22=misLíneas-2,0,E22+1)))</f>
        <v>3</v>
      </c>
      <c r="F23" s="20" t="str" cm="1">
        <f t="array" aca="1" ref="F23" ca="1">IF(OR(E23=0,E23=""),"",INDEX(misCriticidades,D23)&amp;"-"&amp;IFERROR(MATCH(E23,miOrdenTarjeta,0),0))</f>
        <v>2-3</v>
      </c>
      <c r="G23" s="19" t="str">
        <f ca="1"/>
        <v/>
      </c>
      <c r="H23" s="20">
        <f t="shared" ca="1" si="11"/>
        <v>3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2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>
        <f ca="1"/>
        <v>22</v>
      </c>
      <c r="R23" s="20">
        <f t="shared" ca="1" si="13"/>
        <v>3</v>
      </c>
      <c r="S23" s="20">
        <f t="shared" ca="1" si="3"/>
        <v>22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>
      <c r="B24" s="19" t="str">
        <f ca="1"/>
        <v/>
      </c>
      <c r="C24" s="20">
        <f t="shared" ca="1" si="20"/>
        <v>3</v>
      </c>
      <c r="D24" s="20">
        <f t="shared" ca="1" si="0"/>
        <v>27</v>
      </c>
      <c r="E24" s="20" cm="1">
        <f t="array" aca="1" ref="E24" ca="1">IF(D24="","",IF(D24&lt;&gt;D23,1,IF(E23=misLíneas-2,0,E23+1)))</f>
        <v>4</v>
      </c>
      <c r="F24" s="20" t="str" cm="1">
        <f t="array" aca="1" ref="F24" ca="1">IF(OR(E24=0,E24=""),"",INDEX(misCriticidades,D24)&amp;"-"&amp;IFERROR(MATCH(E24,miOrdenTarjeta,0),0))</f>
        <v>2-4</v>
      </c>
      <c r="G24" s="19" t="str">
        <f ca="1"/>
        <v/>
      </c>
      <c r="H24" s="20">
        <f t="shared" ca="1" si="11"/>
        <v>3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2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>
        <f ca="1"/>
        <v>23</v>
      </c>
      <c r="R24" s="20">
        <f t="shared" ca="1" si="13"/>
        <v>3</v>
      </c>
      <c r="S24" s="20">
        <f t="shared" ca="1" si="3"/>
        <v>22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>
      <c r="B25" s="19" t="str">
        <f ca="1"/>
        <v/>
      </c>
      <c r="C25" s="20">
        <f t="shared" ca="1" si="20"/>
        <v>3</v>
      </c>
      <c r="D25" s="20">
        <f t="shared" ca="1" si="0"/>
        <v>27</v>
      </c>
      <c r="E25" s="20" cm="1">
        <f t="array" aca="1" ref="E25" ca="1">IF(D25="","",IF(D25&lt;&gt;D24,1,IF(E24=misLíneas-2,0,E24+1)))</f>
        <v>5</v>
      </c>
      <c r="F25" s="20" t="str" cm="1">
        <f t="array" aca="1" ref="F25" ca="1">IF(OR(E25=0,E25=""),"",INDEX(misCriticidades,D25)&amp;"-"&amp;IFERROR(MATCH(E25,miOrdenTarjeta,0),0))</f>
        <v>2-5</v>
      </c>
      <c r="G25" s="19" t="str">
        <f ca="1"/>
        <v/>
      </c>
      <c r="H25" s="20">
        <f t="shared" ca="1" si="11"/>
        <v>3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2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>
        <f ca="1"/>
        <v>24</v>
      </c>
      <c r="R25" s="20">
        <f t="shared" ca="1" si="13"/>
        <v>3</v>
      </c>
      <c r="S25" s="20">
        <f t="shared" ca="1" si="3"/>
        <v>22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>
      <c r="B26" s="19" t="str">
        <f ca="1"/>
        <v/>
      </c>
      <c r="C26" s="20">
        <f t="shared" ca="1" si="20"/>
        <v>3</v>
      </c>
      <c r="D26" s="20">
        <f t="shared" ca="1" si="0"/>
        <v>27</v>
      </c>
      <c r="E26" s="20" cm="1">
        <f t="array" aca="1" ref="E26" ca="1">IF(D26="","",IF(D26&lt;&gt;D25,1,IF(E25=misLíneas-2,0,E25+1)))</f>
        <v>6</v>
      </c>
      <c r="F26" s="20" t="str" cm="1">
        <f t="array" aca="1" ref="F26" ca="1">IF(OR(E26=0,E26=""),"",INDEX(misCriticidades,D26)&amp;"-"&amp;IFERROR(MATCH(E26,miOrdenTarjeta,0),0))</f>
        <v>2-6</v>
      </c>
      <c r="G26" s="19">
        <f ca="1"/>
        <v>25</v>
      </c>
      <c r="H26" s="20">
        <f t="shared" ca="1" si="11"/>
        <v>3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2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22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>
      <c r="B27" s="19" t="str">
        <f ca="1"/>
        <v/>
      </c>
      <c r="C27" s="20">
        <f t="shared" ca="1" si="20"/>
        <v>3</v>
      </c>
      <c r="D27" s="20">
        <f t="shared" ca="1" si="0"/>
        <v>27</v>
      </c>
      <c r="E27" s="20" cm="1">
        <f t="array" aca="1" ref="E27" ca="1">IF(D27="","",IF(D27&lt;&gt;D26,1,IF(E26=misLíneas-2,0,E26+1)))</f>
        <v>7</v>
      </c>
      <c r="F27" s="20" t="str" cm="1">
        <f t="array" aca="1" ref="F27" ca="1">IF(OR(E27=0,E27=""),"",INDEX(misCriticidades,D27)&amp;"-"&amp;IFERROR(MATCH(E27,miOrdenTarjeta,0),0))</f>
        <v>2-7</v>
      </c>
      <c r="G27" s="19">
        <f ca="1"/>
        <v>26</v>
      </c>
      <c r="H27" s="20">
        <f t="shared" ca="1" si="11"/>
        <v>3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2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22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>
      <c r="B28" s="19">
        <f ca="1"/>
        <v>27</v>
      </c>
      <c r="C28" s="20">
        <f t="shared" ca="1" si="20"/>
        <v>3</v>
      </c>
      <c r="D28" s="20">
        <f t="shared" ca="1" si="0"/>
        <v>27</v>
      </c>
      <c r="E28" s="20" cm="1">
        <f t="array" aca="1" ref="E28" ca="1">IF(D28="","",IF(D28&lt;&gt;D27,1,IF(E27=misLíneas-2,0,E27+1)))</f>
        <v>8</v>
      </c>
      <c r="F28" s="20" t="str" cm="1">
        <f t="array" aca="1" ref="F28" ca="1">IF(OR(E28=0,E28=""),"",INDEX(misCriticidades,D28)&amp;"-"&amp;IFERROR(MATCH(E28,miOrdenTarjeta,0),0))</f>
        <v>2-8</v>
      </c>
      <c r="G28" s="19" t="str">
        <f ca="1"/>
        <v/>
      </c>
      <c r="H28" s="20">
        <f t="shared" ca="1" si="11"/>
        <v>3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2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22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>
      <c r="B29" s="19">
        <f ca="1"/>
        <v>28</v>
      </c>
      <c r="C29" s="20">
        <f t="shared" ca="1" si="20"/>
        <v>3</v>
      </c>
      <c r="D29" s="20">
        <f t="shared" ca="1" si="0"/>
        <v>27</v>
      </c>
      <c r="E29" s="20" cm="1">
        <f t="array" aca="1" ref="E29" ca="1">IF(D29="","",IF(D29&lt;&gt;D28,1,IF(E28=misLíneas-2,0,E28+1)))</f>
        <v>0</v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3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2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22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>
      <c r="B30" s="19">
        <f ca="1"/>
        <v>29</v>
      </c>
      <c r="C30" s="20">
        <f t="shared" ca="1" si="20"/>
        <v>4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3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2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21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>
      <c r="B31" s="19" t="str">
        <f ca="1"/>
        <v/>
      </c>
      <c r="C31" s="20">
        <f t="shared" ca="1" si="20"/>
        <v>4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3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>
        <f ca="1"/>
        <v>30</v>
      </c>
      <c r="M31" s="20">
        <f t="shared" ca="1" si="12"/>
        <v>2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21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>
      <c r="B32" s="19" t="str">
        <f ca="1"/>
        <v/>
      </c>
      <c r="C32" s="20">
        <f t="shared" ca="1" si="20"/>
        <v>4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3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2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21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>
      <c r="B33" s="19" t="str">
        <f ca="1"/>
        <v/>
      </c>
      <c r="C33" s="20">
        <f t="shared" ca="1" si="20"/>
        <v>4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3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2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21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>
      <c r="B34" s="19" t="str">
        <f ca="1"/>
        <v/>
      </c>
      <c r="C34" s="20">
        <f t="shared" ca="1" si="20"/>
        <v>4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3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2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21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>
      <c r="B35" s="19" t="str">
        <f ca="1"/>
        <v/>
      </c>
      <c r="C35" s="20">
        <f t="shared" ca="1" si="20"/>
        <v>4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3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2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21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>
      <c r="B36" s="19" t="str">
        <f ca="1"/>
        <v/>
      </c>
      <c r="C36" s="20">
        <f t="shared" ca="1" si="20"/>
        <v>4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3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2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21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>
      <c r="B37" s="19" t="str">
        <f ca="1"/>
        <v/>
      </c>
      <c r="C37" s="20">
        <f t="shared" ca="1" si="20"/>
        <v>4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3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2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21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>
      <c r="B38" s="19" t="str">
        <f ca="1"/>
        <v/>
      </c>
      <c r="C38" s="20">
        <f t="shared" ca="1" si="20"/>
        <v>4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3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2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21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>
      <c r="B39" s="19" t="str">
        <f ca="1"/>
        <v/>
      </c>
      <c r="C39" s="20">
        <f t="shared" ca="1" si="20"/>
        <v>4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3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2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20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>
      <c r="B40" s="19" t="str">
        <f ca="1"/>
        <v/>
      </c>
      <c r="C40" s="20">
        <f t="shared" ca="1" si="20"/>
        <v>4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3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2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20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>
      <c r="B41" s="19" t="str">
        <f ca="1"/>
        <v/>
      </c>
      <c r="C41" s="20">
        <f t="shared" ca="1" si="20"/>
        <v>4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3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2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20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>
      <c r="B42" s="19" t="str">
        <f ca="1"/>
        <v/>
      </c>
      <c r="C42" s="20">
        <f t="shared" ca="1" si="20"/>
        <v>4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3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2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20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>
      <c r="B43" s="19" t="str">
        <f ca="1"/>
        <v/>
      </c>
      <c r="C43" s="20">
        <f t="shared" ca="1" si="20"/>
        <v>4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3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2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20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>
      <c r="B44" s="19" t="str">
        <f ca="1"/>
        <v/>
      </c>
      <c r="C44" s="20">
        <f t="shared" ca="1" si="20"/>
        <v>4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3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2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20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>
      <c r="B45" s="19" t="str">
        <f ca="1"/>
        <v/>
      </c>
      <c r="C45" s="20">
        <f t="shared" ca="1" si="20"/>
        <v>4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3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2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20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>
      <c r="B46" s="19" t="str">
        <f ca="1"/>
        <v/>
      </c>
      <c r="C46" s="20">
        <f t="shared" ca="1" si="20"/>
        <v>4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3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2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20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>
      <c r="B47" s="19" t="str">
        <f ca="1"/>
        <v/>
      </c>
      <c r="C47" s="20">
        <f t="shared" ca="1" si="20"/>
        <v>4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3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2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20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>
      <c r="B48" s="19" t="str">
        <f ca="1"/>
        <v/>
      </c>
      <c r="C48" s="20">
        <f t="shared" ca="1" si="20"/>
        <v>4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3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2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19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>
      <c r="B49" s="19" t="str">
        <f ca="1"/>
        <v/>
      </c>
      <c r="C49" s="20">
        <f t="shared" ca="1" si="20"/>
        <v>4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3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2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19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>
      <c r="B50" s="19" t="str">
        <f ca="1"/>
        <v/>
      </c>
      <c r="C50" s="20">
        <f t="shared" ca="1" si="20"/>
        <v>4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3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2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19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>
      <c r="B51" s="19" t="str">
        <f ca="1"/>
        <v/>
      </c>
      <c r="C51" s="20">
        <f t="shared" ca="1" si="20"/>
        <v>4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3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2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19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>
      <c r="B52" s="19" t="str">
        <f ca="1"/>
        <v/>
      </c>
      <c r="C52" s="20">
        <f t="shared" ca="1" si="20"/>
        <v>4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3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2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19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>
      <c r="B53" s="19" t="str">
        <f ca="1"/>
        <v/>
      </c>
      <c r="C53" s="20">
        <f t="shared" ca="1" si="20"/>
        <v>4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3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2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19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>
      <c r="B54" s="19" t="str">
        <f ca="1"/>
        <v/>
      </c>
      <c r="C54" s="20">
        <f t="shared" ca="1" si="20"/>
        <v>4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3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2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19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>
      <c r="B55" s="19" t="str">
        <f ca="1"/>
        <v/>
      </c>
      <c r="C55" s="20">
        <f t="shared" ca="1" si="20"/>
        <v>4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3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2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19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>
      <c r="B56" s="19" t="str">
        <f ca="1"/>
        <v/>
      </c>
      <c r="C56" s="20">
        <f t="shared" ca="1" si="20"/>
        <v>4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3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2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19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>
      <c r="B57" s="19" t="str">
        <f ca="1"/>
        <v/>
      </c>
      <c r="C57" s="20">
        <f t="shared" ca="1" si="20"/>
        <v>4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3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2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18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>
      <c r="B58" s="19" t="str">
        <f ca="1"/>
        <v/>
      </c>
      <c r="C58" s="20">
        <f t="shared" ca="1" si="20"/>
        <v>4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3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2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18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>
      <c r="B59" s="19" t="str">
        <f ca="1"/>
        <v/>
      </c>
      <c r="C59" s="20">
        <f t="shared" ca="1" si="20"/>
        <v>4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3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2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18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>
      <c r="B60" s="19" t="str">
        <f ca="1"/>
        <v/>
      </c>
      <c r="C60" s="20">
        <f t="shared" ca="1" si="20"/>
        <v>4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3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2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18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>
      <c r="B61" s="19" t="str">
        <f ca="1"/>
        <v/>
      </c>
      <c r="C61" s="20">
        <f t="shared" ca="1" si="20"/>
        <v>4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3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2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18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>
      <c r="B62" s="19" t="str">
        <f ca="1"/>
        <v/>
      </c>
      <c r="C62" s="20">
        <f t="shared" ca="1" si="20"/>
        <v>4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3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2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18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>
      <c r="B63" s="19" t="str">
        <f ca="1"/>
        <v/>
      </c>
      <c r="C63" s="20">
        <f t="shared" ca="1" si="20"/>
        <v>4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3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2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18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>
      <c r="B64" s="19" t="str">
        <f ca="1"/>
        <v/>
      </c>
      <c r="C64" s="20">
        <f t="shared" ca="1" si="20"/>
        <v>4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3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2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18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>
      <c r="B65" s="19" t="str">
        <f ca="1"/>
        <v/>
      </c>
      <c r="C65" s="20">
        <f t="shared" ca="1" si="20"/>
        <v>4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3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2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18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>
      <c r="B66" s="19" t="str">
        <f ca="1"/>
        <v/>
      </c>
      <c r="C66" s="20">
        <f t="shared" ca="1" si="20"/>
        <v>4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3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2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17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>
      <c r="B67" s="19" t="str">
        <f ca="1"/>
        <v/>
      </c>
      <c r="C67" s="20">
        <f t="shared" ca="1" si="20"/>
        <v>4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3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2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17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>
      <c r="B68" s="19" t="str">
        <f ca="1"/>
        <v/>
      </c>
      <c r="C68" s="20">
        <f t="shared" ca="1" si="20"/>
        <v>4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3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2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17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>
      <c r="B69" s="19" t="str">
        <f ca="1"/>
        <v/>
      </c>
      <c r="C69" s="20">
        <f t="shared" ca="1" si="20"/>
        <v>4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3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2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17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>
      <c r="B70" s="19" t="str">
        <f ca="1"/>
        <v/>
      </c>
      <c r="C70" s="20">
        <f t="shared" ca="1" si="20"/>
        <v>4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3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2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17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>
      <c r="B71" s="19" t="str">
        <f ca="1"/>
        <v/>
      </c>
      <c r="C71" s="20">
        <f t="shared" ca="1" si="20"/>
        <v>4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3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2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17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>
      <c r="B72" s="19" t="str">
        <f ca="1"/>
        <v/>
      </c>
      <c r="C72" s="20">
        <f t="shared" ca="1" si="20"/>
        <v>4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3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2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17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>
      <c r="B73" s="19" t="str">
        <f ca="1"/>
        <v/>
      </c>
      <c r="C73" s="20">
        <f t="shared" ca="1" si="20"/>
        <v>4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3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2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17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>
      <c r="B74" s="19" t="str">
        <f ca="1"/>
        <v/>
      </c>
      <c r="C74" s="20">
        <f t="shared" ca="1" si="20"/>
        <v>4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3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2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17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>
      <c r="B75" s="19" t="str">
        <f ca="1"/>
        <v/>
      </c>
      <c r="C75" s="20">
        <f t="shared" ref="C75:C138" ca="1" si="45">C74--(E74=0)</f>
        <v>4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3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2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16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>
      <c r="B76" s="19" t="str">
        <f ca="1"/>
        <v/>
      </c>
      <c r="C76" s="20">
        <f t="shared" ca="1" si="45"/>
        <v>4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3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2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16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>
      <c r="B77" s="19" t="str">
        <f ca="1"/>
        <v/>
      </c>
      <c r="C77" s="20">
        <f t="shared" ca="1" si="45"/>
        <v>4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3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2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16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>
      <c r="B78" s="19" t="str">
        <f ca="1"/>
        <v/>
      </c>
      <c r="C78" s="20">
        <f t="shared" ca="1" si="45"/>
        <v>4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3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2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16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>
      <c r="B79" s="19" t="str">
        <f ca="1"/>
        <v/>
      </c>
      <c r="C79" s="20">
        <f t="shared" ca="1" si="45"/>
        <v>4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3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2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16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>
      <c r="B80" s="19" t="str">
        <f ca="1"/>
        <v/>
      </c>
      <c r="C80" s="20">
        <f t="shared" ca="1" si="45"/>
        <v>4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3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2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16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>
      <c r="B81" s="19" t="str">
        <f ca="1"/>
        <v/>
      </c>
      <c r="C81" s="20">
        <f t="shared" ca="1" si="45"/>
        <v>4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3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2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16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>
      <c r="B82" s="19" t="str">
        <f ca="1"/>
        <v/>
      </c>
      <c r="C82" s="20">
        <f t="shared" ca="1" si="45"/>
        <v>4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3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2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16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>
      <c r="B83" s="19" t="str">
        <f ca="1"/>
        <v/>
      </c>
      <c r="C83" s="20">
        <f t="shared" ca="1" si="45"/>
        <v>4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3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2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16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>
      <c r="B84" s="19" t="str">
        <f ca="1"/>
        <v/>
      </c>
      <c r="C84" s="20">
        <f t="shared" ca="1" si="45"/>
        <v>4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3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2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15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>
      <c r="B85" s="19" t="str">
        <f ca="1"/>
        <v/>
      </c>
      <c r="C85" s="20">
        <f t="shared" ca="1" si="45"/>
        <v>4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3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2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10</v>
      </c>
      <c r="S85" s="20">
        <f t="shared" ca="1" si="29"/>
        <v>15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>
      <c r="B86" s="19" t="str">
        <f ca="1"/>
        <v/>
      </c>
      <c r="C86" s="20">
        <f t="shared" ca="1" si="45"/>
        <v>4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3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2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15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>
      <c r="B87" s="19" t="str">
        <f ca="1"/>
        <v/>
      </c>
      <c r="C87" s="20">
        <f t="shared" ca="1" si="45"/>
        <v>4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3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2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15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>
      <c r="B88" s="19" t="str">
        <f ca="1"/>
        <v/>
      </c>
      <c r="C88" s="20">
        <f t="shared" ca="1" si="45"/>
        <v>4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3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2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15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>
      <c r="B89" s="19" t="str">
        <f ca="1"/>
        <v/>
      </c>
      <c r="C89" s="20">
        <f t="shared" ca="1" si="45"/>
        <v>4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3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2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15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>
      <c r="B90" s="19" t="str">
        <f ca="1"/>
        <v/>
      </c>
      <c r="C90" s="20">
        <f t="shared" ca="1" si="45"/>
        <v>4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3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2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15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>
      <c r="B91" s="19" t="str">
        <f ca="1"/>
        <v/>
      </c>
      <c r="C91" s="20">
        <f t="shared" ca="1" si="45"/>
        <v>4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3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2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15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>
      <c r="B92" s="19" t="str">
        <f ca="1"/>
        <v/>
      </c>
      <c r="C92" s="20">
        <f t="shared" ca="1" si="45"/>
        <v>4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3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2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15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>
      <c r="B93" s="19" t="str">
        <f ca="1"/>
        <v/>
      </c>
      <c r="C93" s="20">
        <f t="shared" ca="1" si="45"/>
        <v>4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3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2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14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1-1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>
      <c r="B94" s="19" t="str">
        <f ca="1"/>
        <v/>
      </c>
      <c r="C94" s="20">
        <f t="shared" ca="1" si="45"/>
        <v>4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3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2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14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1-2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>
      <c r="B95" s="19" t="str">
        <f ca="1"/>
        <v/>
      </c>
      <c r="C95" s="20">
        <f t="shared" ca="1" si="45"/>
        <v>4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3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2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14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1-3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>
      <c r="B96" s="19" t="str">
        <f ca="1"/>
        <v/>
      </c>
      <c r="C96" s="20">
        <f t="shared" ca="1" si="45"/>
        <v>4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3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2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14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1-4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>
      <c r="B97" s="19" t="str">
        <f ca="1"/>
        <v/>
      </c>
      <c r="C97" s="20">
        <f t="shared" ca="1" si="45"/>
        <v>4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3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2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14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1-5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>
      <c r="B98" s="19" t="str">
        <f ca="1"/>
        <v/>
      </c>
      <c r="C98" s="20">
        <f t="shared" ca="1" si="45"/>
        <v>4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3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2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14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1-6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>
      <c r="B99" s="19" t="str">
        <f ca="1"/>
        <v/>
      </c>
      <c r="C99" s="20">
        <f t="shared" ca="1" si="45"/>
        <v>4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3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2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14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1-7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>
      <c r="B100" s="19" t="str">
        <f ca="1"/>
        <v/>
      </c>
      <c r="C100" s="20">
        <f t="shared" ca="1" si="45"/>
        <v>4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3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2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14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1-8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>
      <c r="B101" s="19" t="str">
        <f ca="1"/>
        <v/>
      </c>
      <c r="C101" s="20">
        <f t="shared" ca="1" si="45"/>
        <v>4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3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2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14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>
      <c r="C102" s="20">
        <f t="shared" ca="1" si="45"/>
        <v>4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3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2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13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2-1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>
      <c r="C103" s="20">
        <f t="shared" ca="1" si="45"/>
        <v>4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3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2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13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2-2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>
      <c r="C104" s="20">
        <f t="shared" ca="1" si="45"/>
        <v>4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3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2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13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2-3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>
      <c r="C105" s="20">
        <f t="shared" ca="1" si="45"/>
        <v>4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3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2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13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2-4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>
      <c r="C106" s="20">
        <f t="shared" ca="1" si="45"/>
        <v>4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3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2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13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2-5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>
      <c r="C107" s="20">
        <f t="shared" ca="1" si="45"/>
        <v>4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3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2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13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2-6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>
      <c r="C108" s="20">
        <f t="shared" ca="1" si="45"/>
        <v>4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3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2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13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2-7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>
      <c r="C109" s="20">
        <f t="shared" ca="1" si="45"/>
        <v>4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3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2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13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2-8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>
      <c r="C110" s="20">
        <f t="shared" ca="1" si="45"/>
        <v>4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3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2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13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>
      <c r="C111" s="20">
        <f t="shared" ca="1" si="45"/>
        <v>4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3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2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12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2-1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>
      <c r="C112" s="20">
        <f t="shared" ca="1" si="45"/>
        <v>4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3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2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12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2-2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>
      <c r="C113" s="20">
        <f t="shared" ca="1" si="45"/>
        <v>4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3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2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12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2-3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>
      <c r="C114" s="20">
        <f t="shared" ca="1" si="45"/>
        <v>4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3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2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12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2-4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>
      <c r="C115" s="20">
        <f t="shared" ca="1" si="45"/>
        <v>4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3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2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12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2-5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>
      <c r="C116" s="20">
        <f t="shared" ca="1" si="45"/>
        <v>4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3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2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12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2-6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>
      <c r="C117" s="20">
        <f t="shared" ca="1" si="45"/>
        <v>4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3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2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12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2-7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>
      <c r="C118" s="20">
        <f t="shared" ca="1" si="45"/>
        <v>4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3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2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12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2-8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>
      <c r="C119" s="20">
        <f t="shared" ca="1" si="45"/>
        <v>4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3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2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12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>
      <c r="C120" s="20">
        <f t="shared" ca="1" si="45"/>
        <v>4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3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2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11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2-1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>
      <c r="C121" s="20">
        <f t="shared" ca="1" si="45"/>
        <v>4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3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2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11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2-2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>
      <c r="C122" s="20">
        <f t="shared" ca="1" si="45"/>
        <v>4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3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2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11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2-3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>
      <c r="C123" s="20">
        <f t="shared" ca="1" si="45"/>
        <v>4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3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2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11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2-4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>
      <c r="C124" s="20">
        <f t="shared" ca="1" si="45"/>
        <v>4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3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2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11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2-5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>
      <c r="C125" s="20">
        <f t="shared" ca="1" si="45"/>
        <v>4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3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2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11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2-6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>
      <c r="C126" s="20">
        <f t="shared" ca="1" si="45"/>
        <v>4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3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2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11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2-7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>
      <c r="C127" s="20">
        <f t="shared" ca="1" si="45"/>
        <v>4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3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2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11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2-8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>
      <c r="C128" s="20">
        <f t="shared" ca="1" si="45"/>
        <v>4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3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2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11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>
      <c r="C129" s="20">
        <f t="shared" ca="1" si="45"/>
        <v>4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3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2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10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1-1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>
      <c r="C130" s="20">
        <f t="shared" ca="1" si="45"/>
        <v>4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3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2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10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1-2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>
      <c r="C131" s="20">
        <f t="shared" ca="1" si="45"/>
        <v>4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3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2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10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1-3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>
      <c r="C132" s="20">
        <f t="shared" ca="1" si="45"/>
        <v>4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3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2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10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1-4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>
      <c r="C133" s="20">
        <f t="shared" ca="1" si="45"/>
        <v>4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3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2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10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1-5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>
      <c r="C134" s="20">
        <f t="shared" ca="1" si="45"/>
        <v>4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3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2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10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1-6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>
      <c r="C135" s="20">
        <f t="shared" ca="1" si="45"/>
        <v>4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3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2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10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1-7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>
      <c r="C136" s="20">
        <f t="shared" ca="1" si="45"/>
        <v>4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3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2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10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1-8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>
      <c r="C137" s="20">
        <f t="shared" ca="1" si="45"/>
        <v>4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3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2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10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>
      <c r="C138" s="20">
        <f t="shared" ca="1" si="45"/>
        <v>4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3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2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9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2-1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>
      <c r="C139" s="20">
        <f t="shared" ref="C139:C198" ca="1" si="70">C138--(E138=0)</f>
        <v>4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3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2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9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2-2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>
      <c r="C140" s="20">
        <f t="shared" ca="1" si="70"/>
        <v>4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3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2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9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2-3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>
      <c r="C141" s="20">
        <f t="shared" ca="1" si="70"/>
        <v>4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3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2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9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2-4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>
      <c r="C142" s="20">
        <f t="shared" ca="1" si="70"/>
        <v>4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3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2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9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2-5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>
      <c r="C143" s="20">
        <f t="shared" ca="1" si="70"/>
        <v>4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3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2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9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2-6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>
      <c r="C144" s="20">
        <f t="shared" ca="1" si="70"/>
        <v>4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3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2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9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2-7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>
      <c r="C145" s="20">
        <f t="shared" ca="1" si="70"/>
        <v>4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3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2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9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2-8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>
      <c r="C146" s="20">
        <f t="shared" ca="1" si="70"/>
        <v>4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3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2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9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>
      <c r="C147" s="20">
        <f t="shared" ca="1" si="70"/>
        <v>4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3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2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8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3-1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>
      <c r="C148" s="20">
        <f t="shared" ca="1" si="70"/>
        <v>4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3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2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8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3-2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>
      <c r="C149" s="20">
        <f t="shared" ca="1" si="70"/>
        <v>4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3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2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8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3-3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>
      <c r="C150" s="20">
        <f t="shared" ca="1" si="70"/>
        <v>4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3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2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8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3-4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>
      <c r="C151" s="20">
        <f t="shared" ca="1" si="70"/>
        <v>4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3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2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8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3-5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>
      <c r="C152" s="20">
        <f t="shared" ca="1" si="70"/>
        <v>4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3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2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8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3-6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>
      <c r="C153" s="20">
        <f t="shared" ca="1" si="70"/>
        <v>4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3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2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8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3-7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>
      <c r="C154" s="20">
        <f t="shared" ca="1" si="70"/>
        <v>4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3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2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8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3-8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>
      <c r="C155" s="20">
        <f t="shared" ca="1" si="70"/>
        <v>4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3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2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8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>
      <c r="C156" s="20">
        <f t="shared" ca="1" si="70"/>
        <v>4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3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2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7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3-1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>
      <c r="C157" s="20">
        <f t="shared" ca="1" si="70"/>
        <v>4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3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2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7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3-2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>
      <c r="C158" s="20">
        <f t="shared" ca="1" si="70"/>
        <v>4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3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2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7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3-3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>
      <c r="C159" s="20">
        <f t="shared" ca="1" si="70"/>
        <v>4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3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2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7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3-4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>
      <c r="C160" s="20">
        <f t="shared" ca="1" si="70"/>
        <v>4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3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2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7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3-5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>
      <c r="C161" s="20">
        <f t="shared" ca="1" si="70"/>
        <v>4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3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2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7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3-6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>
      <c r="C162" s="20">
        <f t="shared" ca="1" si="70"/>
        <v>4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3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2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7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3-7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>
      <c r="C163" s="20">
        <f t="shared" ca="1" si="70"/>
        <v>4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3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2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7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3-8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>
      <c r="C164" s="20">
        <f t="shared" ca="1" si="70"/>
        <v>4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3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2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7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>
      <c r="C165" s="20">
        <f t="shared" ca="1" si="70"/>
        <v>4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3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2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6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3-1</v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>
      <c r="C166" s="20">
        <f t="shared" ca="1" si="70"/>
        <v>4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3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2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6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3-2</v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>
      <c r="C167" s="20">
        <f t="shared" ca="1" si="70"/>
        <v>4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3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2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6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3-3</v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>
      <c r="C168" s="20">
        <f t="shared" ca="1" si="70"/>
        <v>4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3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2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6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3-4</v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>
      <c r="C169" s="20">
        <f t="shared" ca="1" si="70"/>
        <v>4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3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2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6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3-5</v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>
      <c r="C170" s="20">
        <f t="shared" ca="1" si="70"/>
        <v>4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3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2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6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3-6</v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>
      <c r="C171" s="20">
        <f t="shared" ca="1" si="70"/>
        <v>4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3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2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6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3-7</v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>
      <c r="C172" s="20">
        <f t="shared" ca="1" si="70"/>
        <v>4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3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2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6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3-8</v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>
      <c r="C173" s="20">
        <f t="shared" ca="1" si="70"/>
        <v>4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3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2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6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>
      <c r="C174" s="20">
        <f t="shared" ca="1" si="70"/>
        <v>4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3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2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>
        <f t="shared" ca="1" si="74"/>
        <v>5</v>
      </c>
      <c r="T174" s="20" cm="1">
        <f t="array" aca="1" ref="T174" ca="1">IF(S174="","",IF(S174&lt;&gt;S173,1,IF(T173=misLíneas-2,0,T173+1)))</f>
        <v>1</v>
      </c>
      <c r="U174" s="20" t="str" cm="1">
        <f t="array" aca="1" ref="U174" ca="1">IF(OR(T174=0,T174=""),"",INDEX(misCriticidades,S174)&amp;"-"&amp;IFERROR(MATCH(T174,miOrdenTarjeta,0),0))</f>
        <v>3-1</v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>
      <c r="C175" s="20">
        <f t="shared" ca="1" si="70"/>
        <v>4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3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2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>
        <f t="shared" ca="1" si="74"/>
        <v>5</v>
      </c>
      <c r="T175" s="20" cm="1">
        <f t="array" aca="1" ref="T175" ca="1">IF(S175="","",IF(S175&lt;&gt;S174,1,IF(T174=misLíneas-2,0,T174+1)))</f>
        <v>2</v>
      </c>
      <c r="U175" s="20" t="str" cm="1">
        <f t="array" aca="1" ref="U175" ca="1">IF(OR(T175=0,T175=""),"",INDEX(misCriticidades,S175)&amp;"-"&amp;IFERROR(MATCH(T175,miOrdenTarjeta,0),0))</f>
        <v>3-2</v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>
      <c r="C176" s="20">
        <f t="shared" ca="1" si="70"/>
        <v>4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3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2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>
        <f t="shared" ca="1" si="74"/>
        <v>5</v>
      </c>
      <c r="T176" s="20" cm="1">
        <f t="array" aca="1" ref="T176" ca="1">IF(S176="","",IF(S176&lt;&gt;S175,1,IF(T175=misLíneas-2,0,T175+1)))</f>
        <v>3</v>
      </c>
      <c r="U176" s="20" t="str" cm="1">
        <f t="array" aca="1" ref="U176" ca="1">IF(OR(T176=0,T176=""),"",INDEX(misCriticidades,S176)&amp;"-"&amp;IFERROR(MATCH(T176,miOrdenTarjeta,0),0))</f>
        <v>3-3</v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>
      <c r="C177" s="20">
        <f t="shared" ca="1" si="70"/>
        <v>4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3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2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>
        <f t="shared" ca="1" si="74"/>
        <v>5</v>
      </c>
      <c r="T177" s="20" cm="1">
        <f t="array" aca="1" ref="T177" ca="1">IF(S177="","",IF(S177&lt;&gt;S176,1,IF(T176=misLíneas-2,0,T176+1)))</f>
        <v>4</v>
      </c>
      <c r="U177" s="20" t="str" cm="1">
        <f t="array" aca="1" ref="U177" ca="1">IF(OR(T177=0,T177=""),"",INDEX(misCriticidades,S177)&amp;"-"&amp;IFERROR(MATCH(T177,miOrdenTarjeta,0),0))</f>
        <v>3-4</v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>
      <c r="C178" s="20">
        <f t="shared" ca="1" si="70"/>
        <v>4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3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2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>
        <f t="shared" ca="1" si="74"/>
        <v>5</v>
      </c>
      <c r="T178" s="20" cm="1">
        <f t="array" aca="1" ref="T178" ca="1">IF(S178="","",IF(S178&lt;&gt;S177,1,IF(T177=misLíneas-2,0,T177+1)))</f>
        <v>5</v>
      </c>
      <c r="U178" s="20" t="str" cm="1">
        <f t="array" aca="1" ref="U178" ca="1">IF(OR(T178=0,T178=""),"",INDEX(misCriticidades,S178)&amp;"-"&amp;IFERROR(MATCH(T178,miOrdenTarjeta,0),0))</f>
        <v>3-5</v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>
      <c r="C179" s="20">
        <f t="shared" ca="1" si="70"/>
        <v>4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3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2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>
        <f t="shared" ca="1" si="74"/>
        <v>5</v>
      </c>
      <c r="T179" s="20" cm="1">
        <f t="array" aca="1" ref="T179" ca="1">IF(S179="","",IF(S179&lt;&gt;S178,1,IF(T178=misLíneas-2,0,T178+1)))</f>
        <v>6</v>
      </c>
      <c r="U179" s="20" t="str" cm="1">
        <f t="array" aca="1" ref="U179" ca="1">IF(OR(T179=0,T179=""),"",INDEX(misCriticidades,S179)&amp;"-"&amp;IFERROR(MATCH(T179,miOrdenTarjeta,0),0))</f>
        <v>3-6</v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>
      <c r="C180" s="20">
        <f t="shared" ca="1" si="70"/>
        <v>4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3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2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>
        <f t="shared" ca="1" si="74"/>
        <v>5</v>
      </c>
      <c r="T180" s="20" cm="1">
        <f t="array" aca="1" ref="T180" ca="1">IF(S180="","",IF(S180&lt;&gt;S179,1,IF(T179=misLíneas-2,0,T179+1)))</f>
        <v>7</v>
      </c>
      <c r="U180" s="20" t="str" cm="1">
        <f t="array" aca="1" ref="U180" ca="1">IF(OR(T180=0,T180=""),"",INDEX(misCriticidades,S180)&amp;"-"&amp;IFERROR(MATCH(T180,miOrdenTarjeta,0),0))</f>
        <v>3-7</v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>
      <c r="C181" s="20">
        <f t="shared" ca="1" si="70"/>
        <v>4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3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2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>
        <f t="shared" ca="1" si="74"/>
        <v>5</v>
      </c>
      <c r="T181" s="20" cm="1">
        <f t="array" aca="1" ref="T181" ca="1">IF(S181="","",IF(S181&lt;&gt;S180,1,IF(T180=misLíneas-2,0,T180+1)))</f>
        <v>8</v>
      </c>
      <c r="U181" s="20" t="str" cm="1">
        <f t="array" aca="1" ref="U181" ca="1">IF(OR(T181=0,T181=""),"",INDEX(misCriticidades,S181)&amp;"-"&amp;IFERROR(MATCH(T181,miOrdenTarjeta,0),0))</f>
        <v>3-8</v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>
      <c r="C182" s="20">
        <f t="shared" ca="1" si="70"/>
        <v>4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3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2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>
        <f t="shared" ca="1" si="74"/>
        <v>5</v>
      </c>
      <c r="T182" s="20" cm="1">
        <f t="array" aca="1" ref="T182" ca="1">IF(S182="","",IF(S182&lt;&gt;S181,1,IF(T181=misLíneas-2,0,T181+1)))</f>
        <v>0</v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>
      <c r="C183" s="20">
        <f t="shared" ca="1" si="70"/>
        <v>4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3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2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21</v>
      </c>
      <c r="S183" s="20">
        <f t="shared" ca="1" si="74"/>
        <v>4</v>
      </c>
      <c r="T183" s="20" cm="1">
        <f t="array" aca="1" ref="T183" ca="1">IF(S183="","",IF(S183&lt;&gt;S182,1,IF(T182=misLíneas-2,0,T182+1)))</f>
        <v>1</v>
      </c>
      <c r="U183" s="20" t="str" cm="1">
        <f t="array" aca="1" ref="U183" ca="1">IF(OR(T183=0,T183=""),"",INDEX(misCriticidades,S183)&amp;"-"&amp;IFERROR(MATCH(T183,miOrdenTarjeta,0),0))</f>
        <v>3-1</v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>
      <c r="C184" s="20">
        <f t="shared" ca="1" si="70"/>
        <v>4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3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2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21</v>
      </c>
      <c r="S184" s="20">
        <f t="shared" ca="1" si="74"/>
        <v>4</v>
      </c>
      <c r="T184" s="20" cm="1">
        <f t="array" aca="1" ref="T184" ca="1">IF(S184="","",IF(S184&lt;&gt;S183,1,IF(T183=misLíneas-2,0,T183+1)))</f>
        <v>2</v>
      </c>
      <c r="U184" s="20" t="str" cm="1">
        <f t="array" aca="1" ref="U184" ca="1">IF(OR(T184=0,T184=""),"",INDEX(misCriticidades,S184)&amp;"-"&amp;IFERROR(MATCH(T184,miOrdenTarjeta,0),0))</f>
        <v>3-2</v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>
      <c r="C185" s="20">
        <f t="shared" ca="1" si="70"/>
        <v>4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3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2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21</v>
      </c>
      <c r="S185" s="20">
        <f t="shared" ca="1" si="74"/>
        <v>4</v>
      </c>
      <c r="T185" s="20" cm="1">
        <f t="array" aca="1" ref="T185" ca="1">IF(S185="","",IF(S185&lt;&gt;S184,1,IF(T184=misLíneas-2,0,T184+1)))</f>
        <v>3</v>
      </c>
      <c r="U185" s="20" t="str" cm="1">
        <f t="array" aca="1" ref="U185" ca="1">IF(OR(T185=0,T185=""),"",INDEX(misCriticidades,S185)&amp;"-"&amp;IFERROR(MATCH(T185,miOrdenTarjeta,0),0))</f>
        <v>3-3</v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>
      <c r="C186" s="20">
        <f t="shared" ca="1" si="70"/>
        <v>4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3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2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21</v>
      </c>
      <c r="S186" s="20">
        <f t="shared" ca="1" si="74"/>
        <v>4</v>
      </c>
      <c r="T186" s="20" cm="1">
        <f t="array" aca="1" ref="T186" ca="1">IF(S186="","",IF(S186&lt;&gt;S185,1,IF(T185=misLíneas-2,0,T185+1)))</f>
        <v>4</v>
      </c>
      <c r="U186" s="20" t="str" cm="1">
        <f t="array" aca="1" ref="U186" ca="1">IF(OR(T186=0,T186=""),"",INDEX(misCriticidades,S186)&amp;"-"&amp;IFERROR(MATCH(T186,miOrdenTarjeta,0),0))</f>
        <v>3-4</v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>
      <c r="C187" s="20">
        <f t="shared" ca="1" si="70"/>
        <v>4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3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2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21</v>
      </c>
      <c r="S187" s="20">
        <f t="shared" ca="1" si="74"/>
        <v>4</v>
      </c>
      <c r="T187" s="20" cm="1">
        <f t="array" aca="1" ref="T187" ca="1">IF(S187="","",IF(S187&lt;&gt;S186,1,IF(T186=misLíneas-2,0,T186+1)))</f>
        <v>5</v>
      </c>
      <c r="U187" s="20" t="str" cm="1">
        <f t="array" aca="1" ref="U187" ca="1">IF(OR(T187=0,T187=""),"",INDEX(misCriticidades,S187)&amp;"-"&amp;IFERROR(MATCH(T187,miOrdenTarjeta,0),0))</f>
        <v>3-5</v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>
      <c r="C188" s="20">
        <f t="shared" ca="1" si="70"/>
        <v>4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3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2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21</v>
      </c>
      <c r="S188" s="20">
        <f t="shared" ca="1" si="74"/>
        <v>4</v>
      </c>
      <c r="T188" s="20" cm="1">
        <f t="array" aca="1" ref="T188" ca="1">IF(S188="","",IF(S188&lt;&gt;S187,1,IF(T187=misLíneas-2,0,T187+1)))</f>
        <v>6</v>
      </c>
      <c r="U188" s="20" t="str" cm="1">
        <f t="array" aca="1" ref="U188" ca="1">IF(OR(T188=0,T188=""),"",INDEX(misCriticidades,S188)&amp;"-"&amp;IFERROR(MATCH(T188,miOrdenTarjeta,0),0))</f>
        <v>3-6</v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>
      <c r="C189" s="20">
        <f t="shared" ca="1" si="70"/>
        <v>4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3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2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21</v>
      </c>
      <c r="S189" s="20">
        <f t="shared" ca="1" si="74"/>
        <v>4</v>
      </c>
      <c r="T189" s="20" cm="1">
        <f t="array" aca="1" ref="T189" ca="1">IF(S189="","",IF(S189&lt;&gt;S188,1,IF(T188=misLíneas-2,0,T188+1)))</f>
        <v>7</v>
      </c>
      <c r="U189" s="20" t="str" cm="1">
        <f t="array" aca="1" ref="U189" ca="1">IF(OR(T189=0,T189=""),"",INDEX(misCriticidades,S189)&amp;"-"&amp;IFERROR(MATCH(T189,miOrdenTarjeta,0),0))</f>
        <v>3-7</v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>
      <c r="C190" s="20">
        <f t="shared" ca="1" si="70"/>
        <v>4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3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2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21</v>
      </c>
      <c r="S190" s="20">
        <f t="shared" ca="1" si="74"/>
        <v>4</v>
      </c>
      <c r="T190" s="20" cm="1">
        <f t="array" aca="1" ref="T190" ca="1">IF(S190="","",IF(S190&lt;&gt;S189,1,IF(T189=misLíneas-2,0,T189+1)))</f>
        <v>8</v>
      </c>
      <c r="U190" s="20" t="str" cm="1">
        <f t="array" aca="1" ref="U190" ca="1">IF(OR(T190=0,T190=""),"",INDEX(misCriticidades,S190)&amp;"-"&amp;IFERROR(MATCH(T190,miOrdenTarjeta,0),0))</f>
        <v>3-8</v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>
      <c r="C191" s="20">
        <f t="shared" ca="1" si="70"/>
        <v>4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3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2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21</v>
      </c>
      <c r="S191" s="20">
        <f t="shared" ca="1" si="74"/>
        <v>4</v>
      </c>
      <c r="T191" s="20" cm="1">
        <f t="array" aca="1" ref="T191" ca="1">IF(S191="","",IF(S191&lt;&gt;S190,1,IF(T190=misLíneas-2,0,T190+1)))</f>
        <v>0</v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>
      <c r="C192" s="20">
        <f t="shared" ca="1" si="70"/>
        <v>4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3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2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22</v>
      </c>
      <c r="S192" s="20">
        <f t="shared" ca="1" si="74"/>
        <v>3</v>
      </c>
      <c r="T192" s="20" cm="1">
        <f t="array" aca="1" ref="T192" ca="1">IF(S192="","",IF(S192&lt;&gt;S191,1,IF(T191=misLíneas-2,0,T191+1)))</f>
        <v>1</v>
      </c>
      <c r="U192" s="20" t="str" cm="1">
        <f t="array" aca="1" ref="U192" ca="1">IF(OR(T192=0,T192=""),"",INDEX(misCriticidades,S192)&amp;"-"&amp;IFERROR(MATCH(T192,miOrdenTarjeta,0),0))</f>
        <v>3-1</v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>
      <c r="C193" s="20">
        <f t="shared" ca="1" si="70"/>
        <v>4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3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2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22</v>
      </c>
      <c r="S193" s="20">
        <f t="shared" ca="1" si="74"/>
        <v>3</v>
      </c>
      <c r="T193" s="20" cm="1">
        <f t="array" aca="1" ref="T193" ca="1">IF(S193="","",IF(S193&lt;&gt;S192,1,IF(T192=misLíneas-2,0,T192+1)))</f>
        <v>2</v>
      </c>
      <c r="U193" s="20" t="str" cm="1">
        <f t="array" aca="1" ref="U193" ca="1">IF(OR(T193=0,T193=""),"",INDEX(misCriticidades,S193)&amp;"-"&amp;IFERROR(MATCH(T193,miOrdenTarjeta,0),0))</f>
        <v>3-2</v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>
      <c r="C194" s="20">
        <f t="shared" ca="1" si="70"/>
        <v>4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3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2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22</v>
      </c>
      <c r="S194" s="20">
        <f t="shared" ca="1" si="74"/>
        <v>3</v>
      </c>
      <c r="T194" s="20" cm="1">
        <f t="array" aca="1" ref="T194" ca="1">IF(S194="","",IF(S194&lt;&gt;S193,1,IF(T193=misLíneas-2,0,T193+1)))</f>
        <v>3</v>
      </c>
      <c r="U194" s="20" t="str" cm="1">
        <f t="array" aca="1" ref="U194" ca="1">IF(OR(T194=0,T194=""),"",INDEX(misCriticidades,S194)&amp;"-"&amp;IFERROR(MATCH(T194,miOrdenTarjeta,0),0))</f>
        <v>3-3</v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>
      <c r="C195" s="20">
        <f t="shared" ca="1" si="70"/>
        <v>4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3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2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22</v>
      </c>
      <c r="S195" s="20">
        <f t="shared" ref="S195:S198" ca="1" si="79">IF(R195&gt;R194,IFERROR(IF(U$1="v",SMALL(Q$2:Q$101,R195),LARGE(Q$2:Q$101,R195)),""),S194)</f>
        <v>3</v>
      </c>
      <c r="T195" s="20" cm="1">
        <f t="array" aca="1" ref="T195" ca="1">IF(S195="","",IF(S195&lt;&gt;S194,1,IF(T194=misLíneas-2,0,T194+1)))</f>
        <v>4</v>
      </c>
      <c r="U195" s="20" t="str" cm="1">
        <f t="array" aca="1" ref="U195" ca="1">IF(OR(T195=0,T195=""),"",INDEX(misCriticidades,S195)&amp;"-"&amp;IFERROR(MATCH(T195,miOrdenTarjeta,0),0))</f>
        <v>3-4</v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>
      <c r="C196" s="20">
        <f t="shared" ca="1" si="70"/>
        <v>4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3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2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22</v>
      </c>
      <c r="S196" s="20">
        <f t="shared" ca="1" si="79"/>
        <v>3</v>
      </c>
      <c r="T196" s="20" cm="1">
        <f t="array" aca="1" ref="T196" ca="1">IF(S196="","",IF(S196&lt;&gt;S195,1,IF(T195=misLíneas-2,0,T195+1)))</f>
        <v>5</v>
      </c>
      <c r="U196" s="20" t="str" cm="1">
        <f t="array" aca="1" ref="U196" ca="1">IF(OR(T196=0,T196=""),"",INDEX(misCriticidades,S196)&amp;"-"&amp;IFERROR(MATCH(T196,miOrdenTarjeta,0),0))</f>
        <v>3-5</v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>
      <c r="C197" s="20">
        <f t="shared" ca="1" si="70"/>
        <v>4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3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2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22</v>
      </c>
      <c r="S197" s="20">
        <f t="shared" ca="1" si="79"/>
        <v>3</v>
      </c>
      <c r="T197" s="20" cm="1">
        <f t="array" aca="1" ref="T197" ca="1">IF(S197="","",IF(S197&lt;&gt;S196,1,IF(T196=misLíneas-2,0,T196+1)))</f>
        <v>6</v>
      </c>
      <c r="U197" s="20" t="str" cm="1">
        <f t="array" aca="1" ref="U197" ca="1">IF(OR(T197=0,T197=""),"",INDEX(misCriticidades,S197)&amp;"-"&amp;IFERROR(MATCH(T197,miOrdenTarjeta,0),0))</f>
        <v>3-6</v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>
      <c r="C198" s="20">
        <f t="shared" ca="1" si="70"/>
        <v>4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3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2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22</v>
      </c>
      <c r="S198" s="20">
        <f t="shared" ca="1" si="79"/>
        <v>3</v>
      </c>
      <c r="T198" s="20" cm="1">
        <f t="array" aca="1" ref="T198" ca="1">IF(S198="","",IF(S198&lt;&gt;S197,1,IF(T197=misLíneas-2,0,T197+1)))</f>
        <v>7</v>
      </c>
      <c r="U198" s="20" t="str" cm="1">
        <f t="array" aca="1" ref="U198" ca="1">IF(OR(T198=0,T198=""),"",INDEX(misCriticidades,S198)&amp;"-"&amp;IFERROR(MATCH(T198,miOrdenTarjeta,0),0))</f>
        <v>3-7</v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/>
  <cols>
    <col min="1" max="7" width="32.5703125" style="2" customWidth="1"/>
    <col min="8" max="16384" width="10.85546875" style="2" hidden="1"/>
  </cols>
  <sheetData>
    <row r="1" spans="1:7">
      <c r="A1" s="27">
        <f>IFERROR(MATCH(miIdioma,misIdiomas,0),1)</f>
        <v>1</v>
      </c>
      <c r="B1" s="2" t="s">
        <v>80</v>
      </c>
      <c r="C1" s="2" t="s">
        <v>96</v>
      </c>
      <c r="D1" s="2" t="s">
        <v>97</v>
      </c>
      <c r="E1" s="2" t="s">
        <v>98</v>
      </c>
      <c r="F1" s="2" t="s">
        <v>99</v>
      </c>
      <c r="G1" s="2" t="s">
        <v>100</v>
      </c>
    </row>
    <row r="2" spans="1:7">
      <c r="A2" s="32" t="str" cm="1">
        <f t="array" ref="A2">INDEX(TablaIdiomas[#This Row],1,$A$1)&amp;""</f>
        <v>Tablero KANBAN</v>
      </c>
      <c r="B2" s="2" t="s">
        <v>101</v>
      </c>
      <c r="C2" s="2" t="s">
        <v>102</v>
      </c>
      <c r="D2" s="2" t="s">
        <v>103</v>
      </c>
      <c r="E2" s="2" t="s">
        <v>104</v>
      </c>
      <c r="F2" s="2" t="s">
        <v>105</v>
      </c>
      <c r="G2" s="2" t="s">
        <v>106</v>
      </c>
    </row>
    <row r="3" spans="1:7">
      <c r="A3" s="36" t="str" cm="1">
        <f t="array" ref="A3">INDEX(TablaIdiomas[#This Row],1,$A$1)&amp;""</f>
        <v>Idioma</v>
      </c>
      <c r="B3" s="2" t="s">
        <v>107</v>
      </c>
      <c r="C3" s="2" t="s">
        <v>108</v>
      </c>
      <c r="D3" s="2" t="s">
        <v>109</v>
      </c>
      <c r="E3" s="2" t="s">
        <v>110</v>
      </c>
      <c r="F3" s="2" t="s">
        <v>111</v>
      </c>
      <c r="G3" s="2" t="s">
        <v>112</v>
      </c>
    </row>
    <row r="4" spans="1:7">
      <c r="A4" s="32" t="str" cm="1">
        <f t="array" ref="A4">INDEX(TablaIdiomas[#This Row],1,$A$1)&amp;""</f>
        <v>AVISO:</v>
      </c>
      <c r="B4" s="2" t="s">
        <v>113</v>
      </c>
      <c r="C4" s="2" t="s">
        <v>114</v>
      </c>
      <c r="D4" s="2" t="s">
        <v>115</v>
      </c>
      <c r="E4" s="2" t="s">
        <v>116</v>
      </c>
      <c r="F4" s="2" t="s">
        <v>117</v>
      </c>
      <c r="G4" s="2" t="s">
        <v>113</v>
      </c>
    </row>
    <row r="5" spans="1:7">
      <c r="A5" s="36" t="str" cm="1">
        <f t="array" ref="A5">INDEX(TablaIdiomas[#This Row],1,$A$1)&amp;""</f>
        <v>Es preciso traducir</v>
      </c>
      <c r="B5" s="2" t="s">
        <v>118</v>
      </c>
      <c r="C5" s="2" t="s">
        <v>119</v>
      </c>
      <c r="D5" s="2" t="s">
        <v>120</v>
      </c>
      <c r="E5" s="2" t="s">
        <v>121</v>
      </c>
      <c r="F5" s="2" t="s">
        <v>122</v>
      </c>
      <c r="G5" s="2" t="s">
        <v>123</v>
      </c>
    </row>
    <row r="6" spans="1:7">
      <c r="A6" s="32" t="str" cm="1">
        <f t="array" ref="A6">INDEX(TablaIdiomas[#This Row],1,$A$1)&amp;""</f>
        <v>Estados y Criticidad</v>
      </c>
      <c r="B6" s="2" t="s">
        <v>124</v>
      </c>
      <c r="C6" s="2" t="s">
        <v>125</v>
      </c>
      <c r="D6" s="2" t="s">
        <v>126</v>
      </c>
      <c r="E6" s="2" t="s">
        <v>127</v>
      </c>
      <c r="F6" s="2" t="s">
        <v>128</v>
      </c>
      <c r="G6" s="2" t="s">
        <v>129</v>
      </c>
    </row>
    <row r="7" spans="1:7">
      <c r="A7" s="36" t="str" cm="1">
        <f t="array" ref="A7">INDEX(TablaIdiomas[#This Row],1,$A$1)&amp;""</f>
        <v>Estados</v>
      </c>
      <c r="B7" s="2" t="s">
        <v>130</v>
      </c>
      <c r="C7" s="2" t="s">
        <v>131</v>
      </c>
      <c r="D7" s="2" t="s">
        <v>132</v>
      </c>
      <c r="E7" s="2" t="s">
        <v>133</v>
      </c>
      <c r="F7" s="2" t="s">
        <v>134</v>
      </c>
      <c r="G7" s="2" t="s">
        <v>130</v>
      </c>
    </row>
    <row r="8" spans="1:7">
      <c r="A8" s="32" t="str" cm="1">
        <f t="array" ref="A8">INDEX(TablaIdiomas[#This Row],1,$A$1)&amp;""</f>
        <v>Criticidad</v>
      </c>
      <c r="B8" s="2" t="s">
        <v>135</v>
      </c>
      <c r="C8" s="2" t="s">
        <v>136</v>
      </c>
      <c r="D8" s="2" t="s">
        <v>137</v>
      </c>
      <c r="E8" s="2" t="s">
        <v>138</v>
      </c>
      <c r="F8" s="2" t="s">
        <v>139</v>
      </c>
      <c r="G8" s="2" t="s">
        <v>140</v>
      </c>
    </row>
    <row r="9" spans="1:7">
      <c r="A9" s="36" t="str" cm="1">
        <f t="array" ref="A9">INDEX(TablaIdiomas[#This Row],1,$A$1)&amp;""</f>
        <v>Miembros del equipo</v>
      </c>
      <c r="B9" s="2" t="s">
        <v>141</v>
      </c>
      <c r="C9" s="2" t="s">
        <v>142</v>
      </c>
      <c r="D9" s="2" t="s">
        <v>143</v>
      </c>
      <c r="E9" s="2" t="s">
        <v>144</v>
      </c>
      <c r="F9" s="2" t="s">
        <v>145</v>
      </c>
      <c r="G9" s="2" t="s">
        <v>146</v>
      </c>
    </row>
    <row r="10" spans="1:7">
      <c r="A10" s="32" t="str" cm="1">
        <f t="array" ref="A10">INDEX(TablaIdiomas[#This Row],1,$A$1)&amp;""</f>
        <v>Estado final</v>
      </c>
      <c r="B10" s="2" t="s">
        <v>147</v>
      </c>
      <c r="C10" s="2" t="s">
        <v>148</v>
      </c>
      <c r="D10" s="2" t="s">
        <v>149</v>
      </c>
      <c r="E10" s="2" t="s">
        <v>150</v>
      </c>
      <c r="F10" s="2" t="s">
        <v>151</v>
      </c>
      <c r="G10" s="2" t="s">
        <v>147</v>
      </c>
    </row>
    <row r="11" spans="1:7">
      <c r="A11" s="36" t="str" cm="1">
        <f t="array" ref="A11">INDEX(TablaIdiomas[#This Row],1,$A$1)&amp;""</f>
        <v>Nombre archivo en Excel para la Web</v>
      </c>
      <c r="B11" s="2" t="s">
        <v>152</v>
      </c>
      <c r="C11" s="2" t="s">
        <v>153</v>
      </c>
      <c r="D11" s="2" t="s">
        <v>154</v>
      </c>
      <c r="E11" s="2" t="s">
        <v>155</v>
      </c>
      <c r="F11" s="2" t="s">
        <v>156</v>
      </c>
      <c r="G11" s="2" t="s">
        <v>157</v>
      </c>
    </row>
    <row r="12" spans="1:7">
      <c r="A12" s="32" t="str" cm="1">
        <f t="array" ref="A12">INDEX(TablaIdiomas[#This Row],1,$A$1)&amp;""</f>
        <v>Tarea</v>
      </c>
      <c r="B12" s="2" t="s">
        <v>158</v>
      </c>
      <c r="C12" s="2" t="s">
        <v>159</v>
      </c>
      <c r="D12" s="2" t="s">
        <v>160</v>
      </c>
      <c r="E12" s="2" t="s">
        <v>161</v>
      </c>
      <c r="F12" s="2" t="s">
        <v>162</v>
      </c>
      <c r="G12" s="2" t="s">
        <v>163</v>
      </c>
    </row>
    <row r="13" spans="1:7">
      <c r="A13" s="36" t="str" cm="1">
        <f t="array" ref="A13">INDEX(TablaIdiomas[#This Row],1,$A$1)&amp;""</f>
        <v>Descripción</v>
      </c>
      <c r="B13" s="2" t="s">
        <v>164</v>
      </c>
      <c r="C13" s="2" t="s">
        <v>165</v>
      </c>
      <c r="D13" s="2" t="s">
        <v>165</v>
      </c>
      <c r="E13" s="2" t="s">
        <v>166</v>
      </c>
      <c r="F13" s="2" t="s">
        <v>167</v>
      </c>
      <c r="G13" s="2" t="s">
        <v>168</v>
      </c>
    </row>
    <row r="14" spans="1:7">
      <c r="A14" s="32" t="str" cm="1">
        <f t="array" ref="A14">INDEX(TablaIdiomas[#This Row],1,$A$1)&amp;""</f>
        <v>Inicio</v>
      </c>
      <c r="B14" s="2" t="s">
        <v>169</v>
      </c>
      <c r="C14" s="2" t="s">
        <v>170</v>
      </c>
      <c r="D14" s="2" t="s">
        <v>171</v>
      </c>
      <c r="E14" s="2" t="s">
        <v>172</v>
      </c>
      <c r="F14" s="2" t="s">
        <v>170</v>
      </c>
      <c r="G14" s="2" t="s">
        <v>173</v>
      </c>
    </row>
    <row r="15" spans="1:7">
      <c r="A15" s="36" t="str" cm="1">
        <f t="array" ref="A15">INDEX(TablaIdiomas[#This Row],1,$A$1)&amp;""</f>
        <v>Previsto</v>
      </c>
      <c r="B15" s="2" t="s">
        <v>174</v>
      </c>
      <c r="C15" s="2" t="s">
        <v>175</v>
      </c>
      <c r="D15" s="2" t="s">
        <v>176</v>
      </c>
      <c r="E15" s="2" t="s">
        <v>177</v>
      </c>
      <c r="F15" s="2" t="s">
        <v>178</v>
      </c>
      <c r="G15" s="2" t="s">
        <v>179</v>
      </c>
    </row>
    <row r="16" spans="1:7">
      <c r="A16" s="32" t="str" cm="1">
        <f t="array" ref="A16">INDEX(TablaIdiomas[#This Row],1,$A$1)&amp;""</f>
        <v>Final</v>
      </c>
      <c r="B16" s="2" t="s">
        <v>180</v>
      </c>
      <c r="C16" s="2" t="s">
        <v>180</v>
      </c>
      <c r="D16" s="2" t="s">
        <v>181</v>
      </c>
      <c r="E16" s="2" t="s">
        <v>181</v>
      </c>
      <c r="F16" s="2" t="s">
        <v>181</v>
      </c>
      <c r="G16" s="2" t="s">
        <v>180</v>
      </c>
    </row>
    <row r="17" spans="1:7">
      <c r="A17" s="36" t="str" cm="1">
        <f t="array" ref="A17">INDEX(TablaIdiomas[#This Row],1,$A$1)&amp;""</f>
        <v>Duración</v>
      </c>
      <c r="B17" s="2" t="s">
        <v>182</v>
      </c>
      <c r="C17" s="2" t="s">
        <v>183</v>
      </c>
      <c r="D17" s="2" t="s">
        <v>184</v>
      </c>
      <c r="E17" s="2" t="s">
        <v>185</v>
      </c>
      <c r="F17" s="2" t="s">
        <v>186</v>
      </c>
      <c r="G17" s="2" t="s">
        <v>187</v>
      </c>
    </row>
    <row r="18" spans="1:7">
      <c r="A18" s="32" t="str" cm="1">
        <f t="array" ref="A18">INDEX(TablaIdiomas[#This Row],1,$A$1)&amp;""</f>
        <v>Retraso</v>
      </c>
      <c r="B18" s="2" t="s">
        <v>188</v>
      </c>
      <c r="C18" s="2" t="s">
        <v>189</v>
      </c>
      <c r="D18" s="2" t="s">
        <v>190</v>
      </c>
      <c r="E18" s="2" t="s">
        <v>191</v>
      </c>
      <c r="F18" s="2" t="s">
        <v>192</v>
      </c>
      <c r="G18" s="2" t="s">
        <v>193</v>
      </c>
    </row>
    <row r="19" spans="1:7">
      <c r="A19" s="36" t="str" cm="1">
        <f t="array" ref="A19">INDEX(TablaIdiomas[#This Row],1,$A$1)&amp;""</f>
        <v>Asignado</v>
      </c>
      <c r="B19" s="2" t="s">
        <v>194</v>
      </c>
      <c r="C19" s="2" t="s">
        <v>195</v>
      </c>
      <c r="D19" s="2" t="s">
        <v>196</v>
      </c>
      <c r="E19" s="2" t="s">
        <v>197</v>
      </c>
      <c r="F19" s="2" t="s">
        <v>198</v>
      </c>
      <c r="G19" s="2" t="s">
        <v>199</v>
      </c>
    </row>
    <row r="20" spans="1:7">
      <c r="A20" s="32" t="str" cm="1">
        <f t="array" ref="A20">INDEX(TablaIdiomas[#This Row],1,$A$1)&amp;""</f>
        <v>Filtro</v>
      </c>
      <c r="B20" s="2" t="s">
        <v>200</v>
      </c>
      <c r="C20" s="2" t="s">
        <v>201</v>
      </c>
      <c r="D20" s="2" t="s">
        <v>202</v>
      </c>
      <c r="E20" s="2" t="s">
        <v>200</v>
      </c>
      <c r="F20" s="2" t="s">
        <v>201</v>
      </c>
      <c r="G20" s="2" t="s">
        <v>200</v>
      </c>
    </row>
    <row r="21" spans="1:7">
      <c r="A21" s="36" t="str" cm="1">
        <f t="array" ref="A21">INDEX(TablaIdiomas[#This Row],1,$A$1)&amp;""</f>
        <v>Celda</v>
      </c>
      <c r="B21" s="2" t="s">
        <v>203</v>
      </c>
      <c r="C21" s="2" t="s">
        <v>204</v>
      </c>
      <c r="D21" s="2" t="s">
        <v>205</v>
      </c>
      <c r="E21" s="2" t="s">
        <v>206</v>
      </c>
      <c r="F21" s="2" t="s">
        <v>207</v>
      </c>
      <c r="G21" s="2" t="s">
        <v>208</v>
      </c>
    </row>
    <row r="22" spans="1:7">
      <c r="A22" s="32" t="str" cm="1">
        <f t="array" ref="A22">INDEX(TablaIdiomas[#This Row],1,$A$1)&amp;""</f>
        <v>Tarjetas con</v>
      </c>
      <c r="B22" s="2" t="s">
        <v>209</v>
      </c>
      <c r="C22" s="2" t="s">
        <v>210</v>
      </c>
      <c r="D22" s="2" t="s">
        <v>211</v>
      </c>
      <c r="E22" s="2" t="s">
        <v>212</v>
      </c>
      <c r="F22" s="2" t="s">
        <v>213</v>
      </c>
      <c r="G22" s="2" t="s">
        <v>214</v>
      </c>
    </row>
    <row r="23" spans="1:7">
      <c r="A23" s="36" t="str" cm="1">
        <f t="array" ref="A23">INDEX(TablaIdiomas[#This Row],1,$A$1)&amp;""</f>
        <v>líneas</v>
      </c>
      <c r="B23" s="2" t="s">
        <v>215</v>
      </c>
      <c r="C23" s="2" t="s">
        <v>216</v>
      </c>
      <c r="D23" s="2" t="s">
        <v>217</v>
      </c>
      <c r="E23" s="2" t="s">
        <v>218</v>
      </c>
      <c r="F23" s="2" t="s">
        <v>219</v>
      </c>
      <c r="G23" s="2" t="s">
        <v>220</v>
      </c>
    </row>
    <row r="24" spans="1:7">
      <c r="A24" s="32" t="str" cm="1">
        <f t="array" ref="A24">INDEX(TablaIdiomas[#This Row],1,$A$1)&amp;""</f>
        <v>tareas asignadas a</v>
      </c>
      <c r="B24" s="2" t="s">
        <v>221</v>
      </c>
      <c r="C24" s="2" t="s">
        <v>222</v>
      </c>
      <c r="D24" s="2" t="s">
        <v>223</v>
      </c>
      <c r="E24" s="2" t="s">
        <v>224</v>
      </c>
      <c r="F24" s="2" t="s">
        <v>225</v>
      </c>
      <c r="G24" s="2" t="s">
        <v>226</v>
      </c>
    </row>
    <row r="25" spans="1:7">
      <c r="A25" s="36" t="str" cm="1">
        <f t="array" ref="A25">INDEX(TablaIdiomas[#This Row],1,$A$1)&amp;""</f>
        <v>Con criticidad</v>
      </c>
      <c r="B25" s="2" t="s">
        <v>227</v>
      </c>
      <c r="C25" s="2" t="s">
        <v>228</v>
      </c>
      <c r="D25" s="2" t="s">
        <v>229</v>
      </c>
      <c r="E25" s="2" t="s">
        <v>230</v>
      </c>
      <c r="F25" s="2" t="s">
        <v>231</v>
      </c>
      <c r="G25" s="2" t="s">
        <v>232</v>
      </c>
    </row>
    <row r="26" spans="1:7">
      <c r="A26" s="32" t="str" cm="1">
        <f t="array" ref="A26">INDEX(TablaIdiomas[#This Row],1,$A$1)&amp;""</f>
        <v>Con inicio desde</v>
      </c>
      <c r="B26" s="2" t="s">
        <v>233</v>
      </c>
      <c r="C26" s="2" t="s">
        <v>234</v>
      </c>
      <c r="D26" s="2" t="s">
        <v>235</v>
      </c>
      <c r="E26" s="2" t="s">
        <v>236</v>
      </c>
      <c r="F26" s="2" t="s">
        <v>237</v>
      </c>
      <c r="G26" s="2" t="s">
        <v>238</v>
      </c>
    </row>
    <row r="27" spans="1:7">
      <c r="A27" s="36" t="str" cm="1">
        <f t="array" ref="A27">INDEX(TablaIdiomas[#This Row],1,$A$1)&amp;""</f>
        <v>Con el texto</v>
      </c>
      <c r="B27" s="2" t="s">
        <v>239</v>
      </c>
      <c r="C27" s="2" t="s">
        <v>240</v>
      </c>
      <c r="D27" s="2" t="s">
        <v>241</v>
      </c>
      <c r="E27" s="2" t="s">
        <v>242</v>
      </c>
      <c r="F27" s="2" t="s">
        <v>243</v>
      </c>
      <c r="G27" s="2" t="s">
        <v>244</v>
      </c>
    </row>
    <row r="28" spans="1:7">
      <c r="A28" s="32" t="str" cm="1">
        <f t="array" ref="A28">INDEX(TablaIdiomas[#This Row],1,$A$1)&amp;""</f>
        <v>Con un retraso &gt;</v>
      </c>
      <c r="B28" s="2" t="s">
        <v>245</v>
      </c>
      <c r="C28" s="2" t="s">
        <v>246</v>
      </c>
      <c r="D28" s="2" t="s">
        <v>247</v>
      </c>
      <c r="E28" s="2" t="s">
        <v>248</v>
      </c>
      <c r="F28" s="2" t="s">
        <v>249</v>
      </c>
      <c r="G28" s="2" t="s">
        <v>250</v>
      </c>
    </row>
    <row r="29" spans="1:7">
      <c r="A29" s="36" t="str" cm="1">
        <f t="array" ref="A29">INDEX(TablaIdiomas[#This Row],1,$A$1)&amp;""</f>
        <v>días</v>
      </c>
      <c r="B29" s="2" t="s">
        <v>251</v>
      </c>
      <c r="C29" s="2" t="s">
        <v>252</v>
      </c>
      <c r="D29" s="2" t="s">
        <v>253</v>
      </c>
      <c r="E29" s="2" t="s">
        <v>254</v>
      </c>
      <c r="F29" s="2" t="s">
        <v>255</v>
      </c>
      <c r="G29" s="2" t="s">
        <v>256</v>
      </c>
    </row>
    <row r="30" spans="1:7">
      <c r="A30" s="32" t="str" cm="1">
        <f t="array" ref="A30">INDEX(TablaIdiomas[#This Row],1,$A$1)&amp;""</f>
        <v>Orden en tarjetas</v>
      </c>
      <c r="B30" s="2" t="s">
        <v>257</v>
      </c>
      <c r="C30" s="2" t="s">
        <v>258</v>
      </c>
      <c r="D30" s="2" t="s">
        <v>259</v>
      </c>
      <c r="E30" s="2" t="s">
        <v>260</v>
      </c>
      <c r="F30" s="2" t="s">
        <v>261</v>
      </c>
      <c r="G30" s="2" t="s">
        <v>262</v>
      </c>
    </row>
    <row r="31" spans="1:7">
      <c r="A31" s="36" t="str" cm="1">
        <f t="array" ref="A31">INDEX(TablaIdiomas[#This Row],1,$A$1)&amp;""</f>
        <v>Cambiar números del 2 al 8</v>
      </c>
      <c r="B31" s="2" t="s">
        <v>263</v>
      </c>
      <c r="C31" s="2" t="s">
        <v>264</v>
      </c>
      <c r="D31" s="2" t="s">
        <v>265</v>
      </c>
      <c r="E31" s="2" t="s">
        <v>266</v>
      </c>
      <c r="F31" s="2" t="s">
        <v>267</v>
      </c>
      <c r="G31" s="2" t="s">
        <v>268</v>
      </c>
    </row>
    <row r="32" spans="1:7">
      <c r="A32" s="32" t="str" cm="1">
        <f t="array" ref="A32">INDEX(TablaIdiomas[#This Row],1,$A$1)&amp;""</f>
        <v>No duplicar los números</v>
      </c>
      <c r="B32" s="2" t="s">
        <v>269</v>
      </c>
      <c r="C32" s="2" t="s">
        <v>270</v>
      </c>
      <c r="D32" s="2" t="s">
        <v>271</v>
      </c>
      <c r="E32" s="2" t="s">
        <v>272</v>
      </c>
      <c r="F32" s="2" t="s">
        <v>273</v>
      </c>
      <c r="G32" s="2" t="s">
        <v>274</v>
      </c>
    </row>
    <row r="33" spans="1:7">
      <c r="A33" s="36" t="str" cm="1">
        <f t="array" ref="A33">INDEX(TablaIdiomas[#This Row],1,$A$1)&amp;""</f>
        <v>Con una duración &gt;</v>
      </c>
      <c r="B33" s="2" t="s">
        <v>275</v>
      </c>
      <c r="C33" s="2" t="s">
        <v>276</v>
      </c>
      <c r="D33" s="2" t="s">
        <v>277</v>
      </c>
      <c r="E33" s="2" t="s">
        <v>278</v>
      </c>
      <c r="F33" s="2" t="s">
        <v>279</v>
      </c>
      <c r="G33" s="2" t="s">
        <v>280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Juan Socasi</cp:lastModifiedBy>
  <cp:revision>0</cp:revision>
  <dcterms:created xsi:type="dcterms:W3CDTF">2022-12-26T11:27:14Z</dcterms:created>
  <dcterms:modified xsi:type="dcterms:W3CDTF">2026-06-12T16:09:30Z</dcterms:modified>
  <cp:category/>
  <cp:contentStatus/>
</cp:coreProperties>
</file>
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CENTE\Downloads\"/>
    </mc:Choice>
  </mc:AlternateContent>
  <xr:revisionPtr revIDLastSave="0" documentId="8_{A0BCA963-10E0-4FAB-A893-21B26ACCEDED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Cronograma Proyec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1" l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<sst xmlns="http://schemas.openxmlformats.org/spreadsheetml/2006/main" count="192" uniqueCount="67">
  <si>
    <t xml:space="preserve">CRONOGRAMA DE ACTIVIDADES - PROYECTO </t>
  </si>
  <si>
    <t>Empresa: Accesorios LF | Grupo 6</t>
  </si>
  <si>
    <t>ID</t>
  </si>
  <si>
    <t>Tarea / Actividad</t>
  </si>
  <si>
    <t>Asignado a</t>
  </si>
  <si>
    <t>Prioridad</t>
  </si>
  <si>
    <t>Estado</t>
  </si>
  <si>
    <t>Fecha Inicio</t>
  </si>
  <si>
    <t>Fecha Fin</t>
  </si>
  <si>
    <t>% Progreso</t>
  </si>
  <si>
    <t>Elaboración Introducción</t>
  </si>
  <si>
    <t>Juan Socasi</t>
  </si>
  <si>
    <t>Normal</t>
  </si>
  <si>
    <t>Completado</t>
  </si>
  <si>
    <t>Planteamiento del problema</t>
  </si>
  <si>
    <t>Objetivos</t>
  </si>
  <si>
    <t>Alcance</t>
  </si>
  <si>
    <t>Vicente Sanchez</t>
  </si>
  <si>
    <t>Metodología</t>
  </si>
  <si>
    <t>Ideas a Defender</t>
  </si>
  <si>
    <t>Resultados Esperados</t>
  </si>
  <si>
    <t>Joel Tapia</t>
  </si>
  <si>
    <t>Viabilidad</t>
  </si>
  <si>
    <t>Elaborar Preguntas para la entrevistas</t>
  </si>
  <si>
    <t>Jonathan Rodriguez</t>
  </si>
  <si>
    <t>Alta</t>
  </si>
  <si>
    <t xml:space="preserve">Reunion con el administrador de la empresa </t>
  </si>
  <si>
    <t>Equipo Scrum</t>
  </si>
  <si>
    <t xml:space="preserve">Elaboracion de Matriz de usuario </t>
  </si>
  <si>
    <t xml:space="preserve">Revision del perfil del proyecto </t>
  </si>
  <si>
    <t>Jenny Ruiz</t>
  </si>
  <si>
    <t xml:space="preserve">Defensa del proyecto primer parcial </t>
  </si>
  <si>
    <t xml:space="preserve">Elaborar la segundas preguntas para la entrevista </t>
  </si>
  <si>
    <t>Elaboracion de Matriz de usuario _V2</t>
  </si>
  <si>
    <t>Revision de la Matriz de usuario</t>
  </si>
  <si>
    <t>Elaboracion del Backblog_V1</t>
  </si>
  <si>
    <t>Sprint 0</t>
  </si>
  <si>
    <t>Creacion del Jira</t>
  </si>
  <si>
    <t>Elaboracion Funcionalidad del REQ001</t>
  </si>
  <si>
    <t>Elaboracion Funcionalidad del REQ002</t>
  </si>
  <si>
    <t>Elaboracion Funcionalidad del REQ003</t>
  </si>
  <si>
    <t>Elaboracion Funcionalidad del REQ004</t>
  </si>
  <si>
    <t>Elaboracion Funcionalidad del REQ005</t>
  </si>
  <si>
    <t>Elaboracion Funcionalidad del REQ006</t>
  </si>
  <si>
    <t>Revision del  Sprint 0</t>
  </si>
  <si>
    <t xml:space="preserve">Presentacion de los Requisitos del Sprint  0 </t>
  </si>
  <si>
    <t>Alicia Nazareno</t>
  </si>
  <si>
    <t>Elaboracion del Backblog_V2</t>
  </si>
  <si>
    <t>Elacoracion del Kanban</t>
  </si>
  <si>
    <t>Sprint 1</t>
  </si>
  <si>
    <t>Elaboracion Funcionalidad del REQ007</t>
  </si>
  <si>
    <t>Elaboracion Funcionalidad del REQ008</t>
  </si>
  <si>
    <t>Tercera Reunion con el Administrador</t>
  </si>
  <si>
    <t>Pruebas de Cajas Blancas y Cajas Negras Sprint 0 (REQ001-REQ006)</t>
  </si>
  <si>
    <t xml:space="preserve">Reporte de Errores </t>
  </si>
  <si>
    <t>Presentacion de los Requisitos del Sprint 2</t>
  </si>
  <si>
    <t>Sprint 2</t>
  </si>
  <si>
    <t>Elaboracion Funcionalidad del REQ009</t>
  </si>
  <si>
    <t>Maquetado del REQ009</t>
  </si>
  <si>
    <t>Presentacion del tercer versionamiento del sistema al administrador</t>
  </si>
  <si>
    <t>Etapa de Pruebas del Sprint 1</t>
  </si>
  <si>
    <t>Elaboración Caja Blanca y Caja Negra REQ007</t>
  </si>
  <si>
    <t>Elaboración Caja Blanca y Caja Negra REQ008</t>
  </si>
  <si>
    <t>Elaboración Caja Blanca y Caja Negra REQ009</t>
  </si>
  <si>
    <t>Reporte de Errores y Correccion Sprint 1 y 2</t>
  </si>
  <si>
    <t>Defensa de las Cajas Blancas y Negras y Correcciones</t>
  </si>
  <si>
    <t>Entrega y Sustentacion Final del Proyecto - Tercer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</si>
</sst>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2"/>
      <name val="Calibri"/>
      <family val="2"/>
    </font>
    <font>
      <sz val="11"/>
      <color theme="1" tint="0.24994659260841701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24"/>
      <color rgb="FF1F4E78"/>
      <name val="Calibri"/>
      <family val="2"/>
    </font>
    <font>
      <sz val="11"/>
      <color rgb="FF000000"/>
      <name val="Aptos Narrow"/>
    </font>
    <font>
      <sz val="11"/>
      <color rgb="FF000000"/>
      <name val="Aptos Narrow"/>
      <family val="2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4" fontId="2" fillId="0" borderId="0">
      <alignment horizontal="right" vertical="center"/>
    </xf>
  </cellStyleXfs>
  <cellXfs count="23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14" fontId="7" fillId="0" borderId="0" xfId="0" applyNumberFormat="1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Fecha" xfId="1" xr:uid="{00000000-0005-0000-0000-000001000000}"/>
    <cellStyle name="Normal" xfId="0" builtinId="0"/>
  </cellStyles>
  <dxfs count="11">
    <dxf>
      <fill>
        <patternFill>
          <bgColor theme="0" tint="-4.9989318521683403E-2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numFmt numFmtId="13" formatCode="0%"/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numFmt numFmtId="164" formatCode="dd/mm/yyyy"/>
      <fill>
        <patternFill>
          <fgColor indexed="64"/>
          <bgColor indexed="65"/>
        </patternFill>
      </fill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numFmt numFmtId="164" formatCode="dd/mm/yyyy"/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general"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6:I54" totalsRowShown="0" headerRowDxfId="10" dataDxfId="9">
  <autoFilter ref="B6:I54" xr:uid="{00000000-0009-0000-0100-000001000000}"/>
  <tableColumns count="8">
    <tableColumn id="1" xr3:uid="{00000000-0010-0000-0000-000001000000}" name="ID" dataDxfId="8">
      <calculatedColumnFormula>ROW() - ROW(Tabla1[[#Headers],[ID]])</calculatedColumnFormula>
    </tableColumn>
    <tableColumn id="2" xr3:uid="{00000000-0010-0000-0000-000002000000}" name="Tarea / Actividad" dataDxfId="7"/>
    <tableColumn id="3" xr3:uid="{00000000-0010-0000-0000-000003000000}" name="Asignado a" dataDxfId="6"/>
    <tableColumn id="4" xr3:uid="{00000000-0010-0000-0000-000004000000}" name="Prioridad" dataDxfId="5"/>
    <tableColumn id="5" xr3:uid="{00000000-0010-0000-0000-000005000000}" name="Estado" dataDxfId="4"/>
    <tableColumn id="6" xr3:uid="{00000000-0010-0000-0000-000006000000}" name="Fecha Inicio" dataDxfId="3"/>
    <tableColumn id="7" xr3:uid="{00000000-0010-0000-0000-000007000000}" name="Fecha Fin" dataDxfId="2"/>
    <tableColumn id="8" xr3:uid="{00000000-0010-0000-0000-000008000000}" name="% Progreso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C16" zoomScale="90" zoomScaleNormal="90" workbookViewId="0">
      <selection activeCell="H24" sqref="H24"/>
    </sheetView>
  </sheetViews>
  <sheetFormatPr baseColWidth="10" defaultColWidth="9.33203125" defaultRowHeight="14.25" x14ac:dyDescent="0.45"/>
  <cols>
    <col min="1" max="1" width="5" customWidth="1"/>
    <col min="2" max="2" width="5.1328125" bestFit="1" customWidth="1"/>
    <col min="3" max="3" width="20" customWidth="1"/>
    <col min="4" max="7" width="15" customWidth="1"/>
    <col min="8" max="8" width="13" style="15" customWidth="1"/>
    <col min="9" max="9" width="13" bestFit="1" customWidth="1"/>
    <col min="17" max="18" width="11.1328125" bestFit="1" customWidth="1"/>
  </cols>
  <sheetData>
    <row r="1" spans="1:9" ht="31.5" customHeight="1" x14ac:dyDescent="0.9">
      <c r="A1" s="22" t="s">
        <v>0</v>
      </c>
      <c r="B1" s="19"/>
      <c r="C1" s="19"/>
      <c r="D1" s="19"/>
      <c r="E1" s="19"/>
      <c r="F1" s="19"/>
      <c r="G1" s="19"/>
      <c r="H1" s="20"/>
    </row>
    <row r="2" spans="1:9" ht="15.75" customHeight="1" x14ac:dyDescent="0.5">
      <c r="A2" s="21" t="s">
        <v>1</v>
      </c>
      <c r="B2" s="19"/>
      <c r="C2" s="19"/>
      <c r="D2" s="19"/>
      <c r="E2" s="19"/>
      <c r="F2" s="19"/>
      <c r="G2" s="19"/>
      <c r="H2" s="20"/>
    </row>
    <row r="3" spans="1:9" ht="15.75" customHeight="1" x14ac:dyDescent="0.5">
      <c r="A3" s="13"/>
      <c r="B3" s="1"/>
      <c r="C3" s="1"/>
      <c r="D3" s="1"/>
      <c r="E3" s="1"/>
      <c r="F3" s="1"/>
      <c r="G3" s="1"/>
    </row>
    <row r="4" spans="1:9" ht="21" customHeight="1" x14ac:dyDescent="0.45">
      <c r="A4" s="18"/>
      <c r="B4" s="19"/>
      <c r="C4" s="19"/>
      <c r="D4" s="19"/>
      <c r="E4" s="19"/>
      <c r="F4" s="19"/>
      <c r="G4" s="19"/>
      <c r="H4" s="20"/>
    </row>
    <row r="6" spans="1:9" x14ac:dyDescent="0.45">
      <c r="B6" s="2" t="s">
        <v>2</v>
      </c>
      <c r="C6" s="3" t="s">
        <v>3</v>
      </c>
      <c r="D6" s="3" t="s">
        <v>4</v>
      </c>
      <c r="E6" s="2" t="s">
        <v>5</v>
      </c>
      <c r="F6" s="2" t="s">
        <v>6</v>
      </c>
      <c r="G6" s="2" t="s">
        <v>7</v>
      </c>
      <c r="H6" s="14" t="s">
        <v>8</v>
      </c>
      <c r="I6" s="2" t="s">
        <v>9</v>
      </c>
    </row>
    <row r="7" spans="1:9" ht="29.25" customHeight="1" x14ac:dyDescent="0.45">
      <c r="B7" s="4">
        <f>ROW() - ROW(Tabla1[[#Headers],[ID]])</f>
        <v>1</v>
      </c>
      <c r="C7" s="5" t="s">
        <v>10</v>
      </c>
      <c r="D7" s="5" t="s">
        <v>11</v>
      </c>
      <c r="E7" s="4" t="s">
        <v>12</v>
      </c>
      <c r="F7" s="4" t="s">
        <v>13</v>
      </c>
      <c r="G7" s="6">
        <v>46142</v>
      </c>
      <c r="H7" s="6">
        <v>46144</v>
      </c>
      <c r="I7" s="7">
        <v>1</v>
      </c>
    </row>
    <row r="8" spans="1:9" ht="29.25" customHeight="1" x14ac:dyDescent="0.45">
      <c r="B8" s="4">
        <f>ROW() - ROW(Tabla1[[#Headers],[ID]])</f>
        <v>2</v>
      </c>
      <c r="C8" s="5" t="s">
        <v>14</v>
      </c>
      <c r="D8" s="5" t="s">
        <v>11</v>
      </c>
      <c r="E8" s="4" t="s">
        <v>12</v>
      </c>
      <c r="F8" s="4" t="s">
        <v>13</v>
      </c>
      <c r="G8" s="6">
        <v>46144</v>
      </c>
      <c r="H8" s="6">
        <v>46145</v>
      </c>
      <c r="I8" s="7">
        <v>1</v>
      </c>
    </row>
    <row r="9" spans="1:9" x14ac:dyDescent="0.45">
      <c r="B9" s="4">
        <f>ROW() - ROW(Tabla1[[#Headers],[ID]])</f>
        <v>3</v>
      </c>
      <c r="C9" s="5" t="s">
        <v>15</v>
      </c>
      <c r="D9" s="5" t="s">
        <v>11</v>
      </c>
      <c r="E9" s="4" t="s">
        <v>12</v>
      </c>
      <c r="F9" s="4" t="s">
        <v>13</v>
      </c>
      <c r="G9" s="6">
        <v>46145</v>
      </c>
      <c r="H9" s="6">
        <v>46146</v>
      </c>
      <c r="I9" s="7">
        <v>1</v>
      </c>
    </row>
    <row r="10" spans="1:9" x14ac:dyDescent="0.45">
      <c r="B10" s="4">
        <f>ROW() - ROW(Tabla1[[#Headers],[ID]])</f>
        <v>4</v>
      </c>
      <c r="C10" s="5" t="s">
        <v>16</v>
      </c>
      <c r="D10" s="5" t="s">
        <v>17</v>
      </c>
      <c r="E10" s="4" t="s">
        <v>12</v>
      </c>
      <c r="F10" s="4" t="s">
        <v>13</v>
      </c>
      <c r="G10" s="6">
        <v>46145</v>
      </c>
      <c r="H10" s="6">
        <v>46146</v>
      </c>
      <c r="I10" s="7">
        <v>1</v>
      </c>
    </row>
    <row r="11" spans="1:9" x14ac:dyDescent="0.45">
      <c r="B11" s="4">
        <f>ROW() - ROW(Tabla1[[#Headers],[ID]])</f>
        <v>5</v>
      </c>
      <c r="C11" s="5" t="s">
        <v>18</v>
      </c>
      <c r="D11" s="5" t="s">
        <v>17</v>
      </c>
      <c r="E11" s="4" t="s">
        <v>12</v>
      </c>
      <c r="F11" s="4" t="s">
        <v>13</v>
      </c>
      <c r="G11" s="6">
        <v>46145</v>
      </c>
      <c r="H11" s="6">
        <v>46146</v>
      </c>
      <c r="I11" s="7">
        <v>1</v>
      </c>
    </row>
    <row r="12" spans="1:9" x14ac:dyDescent="0.45">
      <c r="B12" s="4">
        <f>ROW() - ROW(Tabla1[[#Headers],[ID]])</f>
        <v>6</v>
      </c>
      <c r="C12" s="5" t="s">
        <v>19</v>
      </c>
      <c r="D12" s="5" t="s">
        <v>17</v>
      </c>
      <c r="E12" s="4" t="s">
        <v>12</v>
      </c>
      <c r="F12" s="4" t="s">
        <v>13</v>
      </c>
      <c r="G12" s="6">
        <v>46146</v>
      </c>
      <c r="H12" s="6">
        <v>46148</v>
      </c>
      <c r="I12" s="7">
        <v>1</v>
      </c>
    </row>
    <row r="13" spans="1:9" x14ac:dyDescent="0.45">
      <c r="B13" s="4">
        <f>ROW() - ROW(Tabla1[[#Headers],[ID]])</f>
        <v>7</v>
      </c>
      <c r="C13" s="5" t="s">
        <v>20</v>
      </c>
      <c r="D13" s="5" t="s">
        <v>21</v>
      </c>
      <c r="E13" s="4" t="s">
        <v>12</v>
      </c>
      <c r="F13" s="4" t="s">
        <v>13</v>
      </c>
      <c r="G13" s="6">
        <v>46146</v>
      </c>
      <c r="H13" s="6">
        <v>46148</v>
      </c>
      <c r="I13" s="7">
        <v>1</v>
      </c>
    </row>
    <row r="14" spans="1:9" x14ac:dyDescent="0.45">
      <c r="B14" s="4">
        <f>ROW() - ROW(Tabla1[[#Headers],[ID]])</f>
        <v>8</v>
      </c>
      <c r="C14" s="5" t="s">
        <v>22</v>
      </c>
      <c r="D14" s="5" t="s">
        <v>21</v>
      </c>
      <c r="E14" s="4" t="s">
        <v>12</v>
      </c>
      <c r="F14" s="4" t="s">
        <v>13</v>
      </c>
      <c r="G14" s="6">
        <v>46146</v>
      </c>
      <c r="H14" s="6">
        <v>46148</v>
      </c>
      <c r="I14" s="7">
        <v>1</v>
      </c>
    </row>
    <row r="15" spans="1:9" ht="29.25" customHeight="1" x14ac:dyDescent="0.45">
      <c r="B15" s="4">
        <f>ROW() - ROW(Tabla1[[#Headers],[ID]])</f>
        <v>9</v>
      </c>
      <c r="C15" s="5" t="s">
        <v>23</v>
      </c>
      <c r="D15" s="5" t="s">
        <v>24</v>
      </c>
      <c r="E15" s="4" t="s">
        <v>25</v>
      </c>
      <c r="F15" s="4" t="s">
        <v>13</v>
      </c>
      <c r="G15" s="6">
        <v>46148</v>
      </c>
      <c r="H15" s="6">
        <v>46148</v>
      </c>
      <c r="I15" s="7">
        <v>1</v>
      </c>
    </row>
    <row r="16" spans="1:9" ht="43.5" customHeight="1" x14ac:dyDescent="0.45">
      <c r="B16" s="4">
        <f>ROW() - ROW(Tabla1[[#Headers],[ID]])</f>
        <v>10</v>
      </c>
      <c r="C16" s="5" t="s">
        <v>26</v>
      </c>
      <c r="D16" s="5" t="s">
        <v>27</v>
      </c>
      <c r="E16" s="4" t="s">
        <v>25</v>
      </c>
      <c r="F16" s="4" t="s">
        <v>13</v>
      </c>
      <c r="G16" s="6">
        <v>46149</v>
      </c>
      <c r="H16" s="6">
        <v>46149</v>
      </c>
      <c r="I16" s="7">
        <v>1</v>
      </c>
    </row>
    <row r="17" spans="2:9" ht="29.25" customHeight="1" x14ac:dyDescent="0.45">
      <c r="B17" s="8">
        <f>ROW() - ROW(Tabla1[[#Headers],[ID]])</f>
        <v>11</v>
      </c>
      <c r="C17" s="9" t="s">
        <v>28</v>
      </c>
      <c r="D17" s="9" t="s">
        <v>11</v>
      </c>
      <c r="E17" s="8" t="s">
        <v>25</v>
      </c>
      <c r="F17" s="8" t="s">
        <v>13</v>
      </c>
      <c r="G17" s="10">
        <v>46149</v>
      </c>
      <c r="H17" s="10">
        <v>46150</v>
      </c>
      <c r="I17" s="11">
        <v>1</v>
      </c>
    </row>
    <row r="18" spans="2:9" ht="29.25" customHeight="1" x14ac:dyDescent="0.45">
      <c r="B18" s="4">
        <f>ROW() - ROW(Tabla1[[#Headers],[ID]])</f>
        <v>12</v>
      </c>
      <c r="C18" s="5" t="s">
        <v>29</v>
      </c>
      <c r="D18" s="5" t="s">
        <v>30</v>
      </c>
      <c r="E18" s="4" t="s">
        <v>25</v>
      </c>
      <c r="F18" s="4" t="s">
        <v>13</v>
      </c>
      <c r="G18" s="6">
        <v>46150</v>
      </c>
      <c r="H18" s="6">
        <v>46150</v>
      </c>
      <c r="I18" s="7">
        <v>1</v>
      </c>
    </row>
    <row r="19" spans="2:9" ht="29.25" customHeight="1" x14ac:dyDescent="0.45">
      <c r="B19" s="4">
        <f>ROW() - ROW(Tabla1[[#Headers],[ID]])</f>
        <v>13</v>
      </c>
      <c r="C19" s="5" t="s">
        <v>31</v>
      </c>
      <c r="D19" s="5" t="s">
        <v>27</v>
      </c>
      <c r="E19" s="4" t="s">
        <v>25</v>
      </c>
      <c r="F19" s="4" t="s">
        <v>13</v>
      </c>
      <c r="G19" s="6">
        <v>46150</v>
      </c>
      <c r="H19" s="6">
        <v>46150</v>
      </c>
      <c r="I19" s="7">
        <v>1</v>
      </c>
    </row>
    <row r="20" spans="2:9" ht="43.5" customHeight="1" x14ac:dyDescent="0.45">
      <c r="B20" s="4">
        <f>ROW() - ROW(Tabla1[[#Headers],[ID]])</f>
        <v>14</v>
      </c>
      <c r="C20" s="5" t="s">
        <v>32</v>
      </c>
      <c r="D20" s="5" t="s">
        <v>24</v>
      </c>
      <c r="E20" s="4" t="s">
        <v>25</v>
      </c>
      <c r="F20" s="4" t="s">
        <v>13</v>
      </c>
      <c r="G20" s="6">
        <v>46153</v>
      </c>
      <c r="H20" s="6">
        <v>46154</v>
      </c>
      <c r="I20" s="7">
        <v>1</v>
      </c>
    </row>
    <row r="21" spans="2:9" ht="43.5" customHeight="1" x14ac:dyDescent="0.45">
      <c r="B21" s="4">
        <f>ROW() - ROW(Tabla1[[#Headers],[ID]])</f>
        <v>15</v>
      </c>
      <c r="C21" s="5" t="s">
        <v>26</v>
      </c>
      <c r="D21" s="5" t="s">
        <v>24</v>
      </c>
      <c r="E21" s="4" t="s">
        <v>25</v>
      </c>
      <c r="F21" s="4" t="s">
        <v>13</v>
      </c>
      <c r="G21" s="6">
        <v>46156</v>
      </c>
      <c r="H21" s="6">
        <v>46156</v>
      </c>
      <c r="I21" s="7">
        <v>1</v>
      </c>
    </row>
    <row r="22" spans="2:9" ht="29.25" customHeight="1" x14ac:dyDescent="0.45">
      <c r="B22" s="4">
        <f>ROW() - ROW(Tabla1[[#Headers],[ID]])</f>
        <v>16</v>
      </c>
      <c r="C22" s="5" t="s">
        <v>33</v>
      </c>
      <c r="D22" s="5" t="s">
        <v>11</v>
      </c>
      <c r="E22" s="4" t="s">
        <v>25</v>
      </c>
      <c r="F22" s="4" t="s">
        <v>13</v>
      </c>
      <c r="G22" s="6">
        <v>46156</v>
      </c>
      <c r="H22" s="6">
        <v>46157</v>
      </c>
      <c r="I22" s="7">
        <v>1</v>
      </c>
    </row>
    <row r="23" spans="2:9" ht="29.25" customHeight="1" x14ac:dyDescent="0.45">
      <c r="B23" s="4">
        <f>ROW() - ROW(Tabla1[[#Headers],[ID]])</f>
        <v>17</v>
      </c>
      <c r="C23" s="5" t="s">
        <v>34</v>
      </c>
      <c r="D23" s="5" t="s">
        <v>30</v>
      </c>
      <c r="E23" s="4" t="s">
        <v>25</v>
      </c>
      <c r="F23" s="4" t="s">
        <v>13</v>
      </c>
      <c r="G23" s="6">
        <v>46160</v>
      </c>
      <c r="H23" s="6">
        <v>46160</v>
      </c>
      <c r="I23" s="7">
        <v>1</v>
      </c>
    </row>
    <row r="24" spans="2:9" ht="29.25" customHeight="1" x14ac:dyDescent="0.45">
      <c r="B24" s="4">
        <f>ROW() - ROW(Tabla1[[#Headers],[ID]])</f>
        <v>18</v>
      </c>
      <c r="C24" s="5" t="s">
        <v>35</v>
      </c>
      <c r="D24" s="5" t="s">
        <v>27</v>
      </c>
      <c r="E24" s="4" t="s">
        <v>25</v>
      </c>
      <c r="F24" s="4" t="s">
        <v>13</v>
      </c>
      <c r="G24" s="6">
        <v>46169</v>
      </c>
      <c r="H24" s="6">
        <v>46169</v>
      </c>
      <c r="I24" s="7">
        <v>1</v>
      </c>
    </row>
    <row r="25" spans="2:9" x14ac:dyDescent="0.45">
      <c r="B25" s="4">
        <f>ROW() - ROW(Tabla1[[#Headers],[ID]])</f>
        <v>19</v>
      </c>
      <c r="C25" s="5" t="s">
        <v>36</v>
      </c>
      <c r="D25" s="5"/>
      <c r="E25" s="4"/>
      <c r="F25" s="4"/>
      <c r="G25" s="6">
        <v>46169</v>
      </c>
      <c r="H25" s="6">
        <v>46169</v>
      </c>
      <c r="I25" s="7"/>
    </row>
    <row r="26" spans="2:9" x14ac:dyDescent="0.45">
      <c r="B26" s="8">
        <f>ROW() - ROW(Tabla1[[#Headers],[ID]])</f>
        <v>20</v>
      </c>
      <c r="C26" s="9" t="s">
        <v>37</v>
      </c>
      <c r="D26" s="9" t="s">
        <v>27</v>
      </c>
      <c r="E26" s="8" t="s">
        <v>25</v>
      </c>
      <c r="F26" s="8" t="s">
        <v>13</v>
      </c>
      <c r="G26" s="10">
        <v>46169</v>
      </c>
      <c r="H26" s="10">
        <v>46169</v>
      </c>
      <c r="I26" s="11">
        <v>1</v>
      </c>
    </row>
    <row r="27" spans="2:9" ht="43.5" customHeight="1" x14ac:dyDescent="0.45">
      <c r="B27" s="8">
        <f>ROW() - ROW(Tabla1[[#Headers],[ID]])</f>
        <v>21</v>
      </c>
      <c r="C27" s="5" t="s">
        <v>38</v>
      </c>
      <c r="D27" s="5" t="s">
        <v>24</v>
      </c>
      <c r="E27" s="4" t="s">
        <v>25</v>
      </c>
      <c r="F27" s="4" t="s">
        <v>13</v>
      </c>
      <c r="G27" s="6">
        <v>46172</v>
      </c>
      <c r="H27" s="6">
        <v>46173</v>
      </c>
      <c r="I27" s="7">
        <v>1</v>
      </c>
    </row>
    <row r="28" spans="2:9" ht="43.5" customHeight="1" x14ac:dyDescent="0.45">
      <c r="B28" s="8">
        <f>ROW() - ROW(Tabla1[[#Headers],[ID]])</f>
        <v>22</v>
      </c>
      <c r="C28" s="5" t="s">
        <v>39</v>
      </c>
      <c r="D28" s="5" t="s">
        <v>17</v>
      </c>
      <c r="E28" s="4" t="s">
        <v>25</v>
      </c>
      <c r="F28" s="4" t="s">
        <v>13</v>
      </c>
      <c r="G28" s="6">
        <v>46172</v>
      </c>
      <c r="H28" s="6">
        <v>46173</v>
      </c>
      <c r="I28" s="7">
        <v>1</v>
      </c>
    </row>
    <row r="29" spans="2:9" ht="43.5" customHeight="1" x14ac:dyDescent="0.45">
      <c r="B29" s="8">
        <f>ROW() - ROW(Tabla1[[#Headers],[ID]])</f>
        <v>23</v>
      </c>
      <c r="C29" s="5" t="s">
        <v>40</v>
      </c>
      <c r="D29" s="5" t="s">
        <v>21</v>
      </c>
      <c r="E29" s="4" t="s">
        <v>25</v>
      </c>
      <c r="F29" s="4" t="s">
        <v>13</v>
      </c>
      <c r="G29" s="6">
        <v>46172</v>
      </c>
      <c r="H29" s="6">
        <v>46173</v>
      </c>
      <c r="I29" s="7">
        <v>1</v>
      </c>
    </row>
    <row r="30" spans="2:9" ht="43.5" customHeight="1" x14ac:dyDescent="0.45">
      <c r="B30" s="8">
        <f>ROW() - ROW(Tabla1[[#Headers],[ID]])</f>
        <v>24</v>
      </c>
      <c r="C30" s="5" t="s">
        <v>41</v>
      </c>
      <c r="D30" s="5" t="s">
        <v>17</v>
      </c>
      <c r="E30" s="4" t="s">
        <v>25</v>
      </c>
      <c r="F30" s="4" t="s">
        <v>13</v>
      </c>
      <c r="G30" s="6">
        <v>46172</v>
      </c>
      <c r="H30" s="6">
        <v>46173</v>
      </c>
      <c r="I30" s="7">
        <v>1</v>
      </c>
    </row>
    <row r="31" spans="2:9" ht="43.5" customHeight="1" x14ac:dyDescent="0.45">
      <c r="B31" s="8">
        <f>ROW() - ROW(Tabla1[[#Headers],[ID]])</f>
        <v>25</v>
      </c>
      <c r="C31" s="17" t="s">
        <v>42</v>
      </c>
      <c r="D31" s="5" t="s">
        <v>11</v>
      </c>
      <c r="E31" s="8" t="s">
        <v>25</v>
      </c>
      <c r="F31" s="8" t="s">
        <v>13</v>
      </c>
      <c r="G31" s="10">
        <v>46185</v>
      </c>
      <c r="H31" s="10">
        <v>46187</v>
      </c>
      <c r="I31" s="11">
        <v>1</v>
      </c>
    </row>
    <row r="32" spans="2:9" ht="43.5" customHeight="1" x14ac:dyDescent="0.45">
      <c r="B32" s="8">
        <f>ROW() - ROW(Tabla1[[#Headers],[ID]])</f>
        <v>26</v>
      </c>
      <c r="C32" s="17" t="s">
        <v>43</v>
      </c>
      <c r="D32" s="5" t="s">
        <v>17</v>
      </c>
      <c r="E32" s="8" t="s">
        <v>25</v>
      </c>
      <c r="F32" s="8" t="s">
        <v>13</v>
      </c>
      <c r="G32" s="10">
        <v>46185</v>
      </c>
      <c r="H32" s="10">
        <v>46187</v>
      </c>
      <c r="I32" s="11">
        <v>1</v>
      </c>
    </row>
    <row r="33" spans="2:9" x14ac:dyDescent="0.45">
      <c r="B33" s="8">
        <f>ROW() - ROW(Tabla1[[#Headers],[ID]])</f>
        <v>27</v>
      </c>
      <c r="C33" s="5" t="s">
        <v>44</v>
      </c>
      <c r="D33" s="5" t="s">
        <v>30</v>
      </c>
      <c r="E33" s="4" t="s">
        <v>25</v>
      </c>
      <c r="F33" s="4" t="s">
        <v>13</v>
      </c>
      <c r="G33" s="6">
        <v>46174</v>
      </c>
      <c r="H33" s="6">
        <v>46174</v>
      </c>
      <c r="I33" s="7">
        <v>1</v>
      </c>
    </row>
    <row r="34" spans="2:9" ht="43.5" customHeight="1" x14ac:dyDescent="0.45">
      <c r="B34" s="8">
        <f>ROW() - ROW(Tabla1[[#Headers],[ID]])</f>
        <v>28</v>
      </c>
      <c r="C34" s="5" t="s">
        <v>45</v>
      </c>
      <c r="D34" s="5" t="s">
        <v>46</v>
      </c>
      <c r="E34" s="4" t="s">
        <v>25</v>
      </c>
      <c r="F34" s="4" t="s">
        <v>13</v>
      </c>
      <c r="G34" s="6">
        <v>46177</v>
      </c>
      <c r="H34" s="6">
        <v>46177</v>
      </c>
      <c r="I34" s="7">
        <v>1</v>
      </c>
    </row>
    <row r="35" spans="2:9" ht="29.25" customHeight="1" x14ac:dyDescent="0.45">
      <c r="B35" s="4">
        <f>ROW() - ROW(Tabla1[[#Headers],[ID]])</f>
        <v>29</v>
      </c>
      <c r="C35" s="5" t="s">
        <v>47</v>
      </c>
      <c r="D35" s="5" t="s">
        <v>27</v>
      </c>
      <c r="E35" s="4" t="s">
        <v>25</v>
      </c>
      <c r="F35" s="4" t="s">
        <v>13</v>
      </c>
      <c r="G35" s="6">
        <v>46181</v>
      </c>
      <c r="H35" s="6">
        <v>46182</v>
      </c>
      <c r="I35" s="7">
        <v>1</v>
      </c>
    </row>
    <row r="36" spans="2:9" ht="29.25" customHeight="1" x14ac:dyDescent="0.45">
      <c r="B36" s="8">
        <f>ROW() - ROW(Tabla1[[#Headers],[ID]])</f>
        <v>30</v>
      </c>
      <c r="C36" s="9" t="s">
        <v>48</v>
      </c>
      <c r="D36" s="9" t="s">
        <v>27</v>
      </c>
      <c r="E36" s="8" t="s">
        <v>25</v>
      </c>
      <c r="F36" s="8" t="s">
        <v>13</v>
      </c>
      <c r="G36" s="10">
        <v>46185</v>
      </c>
      <c r="H36" s="10">
        <v>46185</v>
      </c>
      <c r="I36" s="11">
        <v>1</v>
      </c>
    </row>
    <row r="37" spans="2:9" x14ac:dyDescent="0.45">
      <c r="B37" s="4">
        <f>ROW() - ROW(Tabla1[[#Headers],[ID]])</f>
        <v>31</v>
      </c>
      <c r="C37" s="5" t="s">
        <v>49</v>
      </c>
      <c r="D37" s="5"/>
      <c r="E37" s="4"/>
      <c r="F37" s="4"/>
      <c r="G37" s="12">
        <v>46185</v>
      </c>
      <c r="H37" s="6">
        <v>46187</v>
      </c>
      <c r="I37" s="4"/>
    </row>
    <row r="38" spans="2:9" ht="43.5" customHeight="1" x14ac:dyDescent="0.45">
      <c r="B38" s="4">
        <f>ROW() - ROW(Tabla1[[#Headers],[ID]])</f>
        <v>32</v>
      </c>
      <c r="C38" s="5" t="s">
        <v>50</v>
      </c>
      <c r="D38" s="5" t="s">
        <v>21</v>
      </c>
      <c r="E38" s="4" t="s">
        <v>25</v>
      </c>
      <c r="F38" s="8" t="s">
        <v>13</v>
      </c>
      <c r="G38" s="12">
        <v>46185</v>
      </c>
      <c r="H38" s="16">
        <v>46187</v>
      </c>
      <c r="I38" s="7">
        <v>1</v>
      </c>
    </row>
    <row r="39" spans="2:9" ht="43.5" customHeight="1" x14ac:dyDescent="0.45">
      <c r="B39" s="4">
        <f>ROW() - ROW(Tabla1[[#Headers],[ID]])</f>
        <v>33</v>
      </c>
      <c r="C39" s="5" t="s">
        <v>51</v>
      </c>
      <c r="D39" s="5" t="s">
        <v>11</v>
      </c>
      <c r="E39" s="4" t="s">
        <v>25</v>
      </c>
      <c r="F39" s="8" t="s">
        <v>13</v>
      </c>
      <c r="G39" s="12">
        <v>46185</v>
      </c>
      <c r="H39" s="16">
        <v>46187</v>
      </c>
      <c r="I39" s="7">
        <v>1</v>
      </c>
    </row>
    <row r="40" spans="2:9" ht="29.25" customHeight="1" x14ac:dyDescent="0.45">
      <c r="B40" s="8">
        <f>ROW() - ROW(Tabla1[[#Headers],[ID]])</f>
        <v>34</v>
      </c>
      <c r="C40" s="9" t="s">
        <v>52</v>
      </c>
      <c r="D40" s="9" t="s">
        <v>46</v>
      </c>
      <c r="E40" s="8" t="s">
        <v>25</v>
      </c>
      <c r="F40" s="8" t="s">
        <v>13</v>
      </c>
      <c r="G40" s="12">
        <v>46190</v>
      </c>
      <c r="H40" s="16">
        <v>46190</v>
      </c>
      <c r="I40" s="11">
        <v>1</v>
      </c>
    </row>
    <row r="41" spans="2:9" ht="43.5" customHeight="1" x14ac:dyDescent="0.45">
      <c r="B41" s="8">
        <f>ROW() - ROW(Tabla1[[#Headers],[ID]])</f>
        <v>35</v>
      </c>
      <c r="C41" s="9" t="s">
        <v>53</v>
      </c>
      <c r="D41" s="9" t="s">
        <v>27</v>
      </c>
      <c r="E41" s="8" t="s">
        <v>25</v>
      </c>
      <c r="F41" s="8" t="s">
        <v>13</v>
      </c>
      <c r="G41" s="10">
        <v>46190</v>
      </c>
      <c r="H41" s="10">
        <v>46192</v>
      </c>
      <c r="I41" s="11">
        <v>1</v>
      </c>
    </row>
    <row r="42" spans="2:9" x14ac:dyDescent="0.45">
      <c r="B42" s="8">
        <f>ROW() - ROW(Tabla1[[#Headers],[ID]])</f>
        <v>36</v>
      </c>
      <c r="C42" s="9" t="s">
        <v>54</v>
      </c>
      <c r="D42" s="9" t="s">
        <v>27</v>
      </c>
      <c r="E42" s="8" t="s">
        <v>25</v>
      </c>
      <c r="F42" s="8" t="s">
        <v>13</v>
      </c>
      <c r="G42" s="10">
        <v>46202</v>
      </c>
      <c r="H42" s="10">
        <v>46202</v>
      </c>
      <c r="I42" s="11">
        <v>1</v>
      </c>
    </row>
    <row r="43" spans="2:9" ht="29.25" customHeight="1" x14ac:dyDescent="0.45">
      <c r="B43" s="8">
        <f>ROW() - ROW(Tabla1[[#Headers],[ID]])</f>
        <v>37</v>
      </c>
      <c r="C43" s="9" t="s">
        <v>55</v>
      </c>
      <c r="D43" s="9" t="s">
        <v>46</v>
      </c>
      <c r="E43" s="8" t="s">
        <v>25</v>
      </c>
      <c r="F43" s="8" t="s">
        <v>13</v>
      </c>
      <c r="G43" s="10">
        <v>46205</v>
      </c>
      <c r="H43" s="10">
        <v>46205</v>
      </c>
      <c r="I43" s="11">
        <v>1</v>
      </c>
    </row>
    <row r="44" spans="2:9" x14ac:dyDescent="0.45">
      <c r="B44" s="8">
        <f>ROW() - ROW(Tabla1[[#Headers],[ID]])</f>
        <v>38</v>
      </c>
      <c r="C44" s="9" t="s">
        <v>56</v>
      </c>
      <c r="D44" s="9"/>
      <c r="E44" s="8"/>
      <c r="F44" s="8" t="s">
        <v>13</v>
      </c>
      <c r="G44" s="10">
        <v>46205</v>
      </c>
      <c r="H44" s="10">
        <v>46207</v>
      </c>
      <c r="I44" s="11"/>
    </row>
    <row r="45" spans="2:9" ht="43.5" customHeight="1" x14ac:dyDescent="0.45">
      <c r="B45" s="8">
        <f>ROW() - ROW(Tabla1[[#Headers],[ID]])</f>
        <v>39</v>
      </c>
      <c r="C45" s="9" t="s">
        <v>57</v>
      </c>
      <c r="D45" s="17" t="s">
        <v>24</v>
      </c>
      <c r="E45" s="8" t="s">
        <v>25</v>
      </c>
      <c r="F45" s="8" t="s">
        <v>13</v>
      </c>
      <c r="G45" s="10">
        <v>46205</v>
      </c>
      <c r="H45" s="10">
        <v>46206</v>
      </c>
      <c r="I45" s="11">
        <v>1</v>
      </c>
    </row>
    <row r="46" spans="2:9" ht="29.25" customHeight="1" x14ac:dyDescent="0.45">
      <c r="B46" s="8">
        <f>ROW() - ROW(Tabla1[[#Headers],[ID]])</f>
        <v>40</v>
      </c>
      <c r="C46" s="9" t="s">
        <v>58</v>
      </c>
      <c r="D46" s="9" t="s">
        <v>24</v>
      </c>
      <c r="E46" s="8" t="s">
        <v>25</v>
      </c>
      <c r="F46" s="8" t="s">
        <v>13</v>
      </c>
      <c r="G46" s="10">
        <v>46206</v>
      </c>
      <c r="H46" s="10">
        <v>46207</v>
      </c>
      <c r="I46" s="11">
        <v>1</v>
      </c>
    </row>
    <row r="47" spans="2:9" ht="57" x14ac:dyDescent="0.45">
      <c r="B47" s="8">
        <f>ROW() - ROW(Tabla1[[#Headers],[ID]])</f>
        <v>41</v>
      </c>
      <c r="C47" s="9" t="s">
        <v>59</v>
      </c>
      <c r="D47" s="9" t="s">
        <v>27</v>
      </c>
      <c r="E47" s="8" t="s">
        <v>25</v>
      </c>
      <c r="F47" s="8" t="s">
        <v>13</v>
      </c>
      <c r="G47" s="10">
        <v>46209</v>
      </c>
      <c r="H47" s="10">
        <v>46209</v>
      </c>
      <c r="I47" s="11">
        <v>1</v>
      </c>
    </row>
    <row r="48" spans="2:9" ht="28.5" x14ac:dyDescent="0.45">
      <c r="B48" s="8">
        <f>ROW() - ROW(Tabla1[[#Headers],[ID]])</f>
        <v>42</v>
      </c>
      <c r="C48" s="9" t="s">
        <v>60</v>
      </c>
      <c r="D48" s="9"/>
      <c r="E48" s="8"/>
      <c r="F48" s="8" t="s">
        <v>13</v>
      </c>
      <c r="G48" s="10">
        <v>46211</v>
      </c>
      <c r="H48" s="10">
        <v>46212</v>
      </c>
      <c r="I48" s="11"/>
    </row>
    <row r="49" spans="2:9" ht="28.5" x14ac:dyDescent="0.45">
      <c r="B49" s="8">
        <f>ROW() - ROW(Tabla1[[#Headers],[ID]])</f>
        <v>43</v>
      </c>
      <c r="C49" s="9" t="s">
        <v>61</v>
      </c>
      <c r="D49" s="9" t="s">
        <v>21</v>
      </c>
      <c r="E49" s="8" t="s">
        <v>25</v>
      </c>
      <c r="F49" s="8" t="s">
        <v>13</v>
      </c>
      <c r="G49" s="10">
        <v>46211</v>
      </c>
      <c r="H49" s="10">
        <v>46212</v>
      </c>
      <c r="I49" s="11">
        <v>1</v>
      </c>
    </row>
    <row r="50" spans="2:9" ht="28.5" x14ac:dyDescent="0.45">
      <c r="B50" s="8">
        <f>ROW() - ROW(Tabla1[[#Headers],[ID]])</f>
        <v>44</v>
      </c>
      <c r="C50" s="9" t="s">
        <v>62</v>
      </c>
      <c r="D50" s="9" t="s">
        <v>11</v>
      </c>
      <c r="E50" s="8" t="s">
        <v>25</v>
      </c>
      <c r="F50" s="8" t="s">
        <v>13</v>
      </c>
      <c r="G50" s="10">
        <v>46211</v>
      </c>
      <c r="H50" s="10">
        <v>46212</v>
      </c>
      <c r="I50" s="11">
        <v>1</v>
      </c>
    </row>
    <row r="51" spans="2:9" ht="28.5" x14ac:dyDescent="0.45">
      <c r="B51" s="8">
        <f>ROW() - ROW(Tabla1[[#Headers],[ID]])</f>
        <v>45</v>
      </c>
      <c r="C51" s="9" t="s">
        <v>63</v>
      </c>
      <c r="D51" s="9" t="s">
        <v>24</v>
      </c>
      <c r="E51" s="8" t="s">
        <v>25</v>
      </c>
      <c r="F51" s="8" t="s">
        <v>13</v>
      </c>
      <c r="G51" s="10">
        <v>46213</v>
      </c>
      <c r="H51" s="10">
        <v>46213</v>
      </c>
      <c r="I51" s="11">
        <v>1</v>
      </c>
    </row>
    <row r="52" spans="2:9" ht="28.5" x14ac:dyDescent="0.45">
      <c r="B52" s="8">
        <f>ROW() - ROW(Tabla1[[#Headers],[ID]])</f>
        <v>46</v>
      </c>
      <c r="C52" s="9" t="s">
        <v>64</v>
      </c>
      <c r="D52" s="9" t="s">
        <v>27</v>
      </c>
      <c r="E52" s="8" t="s">
        <v>25</v>
      </c>
      <c r="F52" s="8" t="s">
        <v>13</v>
      </c>
      <c r="G52" s="10">
        <v>46216</v>
      </c>
      <c r="H52" s="10">
        <v>46218</v>
      </c>
      <c r="I52" s="11">
        <v>1</v>
      </c>
    </row>
    <row r="53" spans="2:9" ht="42.75" x14ac:dyDescent="0.45">
      <c r="B53" s="8">
        <f>ROW() - ROW(Tabla1[[#Headers],[ID]])</f>
        <v>47</v>
      </c>
      <c r="C53" s="9" t="s">
        <v>65</v>
      </c>
      <c r="D53" s="9" t="s">
        <v>27</v>
      </c>
      <c r="E53" s="8" t="s">
        <v>25</v>
      </c>
      <c r="F53" s="8" t="s">
        <v>13</v>
      </c>
      <c r="G53" s="10">
        <v>46220</v>
      </c>
      <c r="H53" s="10">
        <v>46220</v>
      </c>
      <c r="I53" s="11">
        <v>1</v>
      </c>
    </row>
    <row r="54" spans="2:9" ht="42.75" x14ac:dyDescent="0.45">
      <c r="B54" s="8">
        <f>ROW() - ROW(Tabla1[[#Headers],[ID]])</f>
        <v>48</v>
      </c>
      <c r="C54" s="9" t="s">
        <v>66</v>
      </c>
      <c r="D54" s="9" t="s">
        <v>27</v>
      </c>
      <c r="E54" s="8" t="s">
        <v>25</v>
      </c>
      <c r="F54" s="8" t="s">
        <v>13</v>
      </c>
      <c r="G54" s="10">
        <v>46223</v>
      </c>
      <c r="H54" s="10">
        <v>46223</v>
      </c>
      <c r="I54" s="11">
        <v>1</v>
      </c>
    </row>
  </sheetData>
  <mergeCells count="3">
    <mergeCell ref="A4:H4"/>
    <mergeCell ref="A2:H2"/>
    <mergeCell ref="A1:H1"/>
  </mergeCells>
  <conditionalFormatting sqref="A4">
    <cfRule type="expression" dxfId="0" priority="1">
      <formula>AND($H5=0,$H5&lt;&gt;"")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 Sánchez</cp:lastModifiedBy>
  <dcterms:created xsi:type="dcterms:W3CDTF">2026-05-08T03:13:36Z</dcterms:created>
  <dcterms:modified xsi:type="dcterms:W3CDTF">2026-07-22T01:43:10Z</dcterms:modified>
</cp:coreProperties>
</file>
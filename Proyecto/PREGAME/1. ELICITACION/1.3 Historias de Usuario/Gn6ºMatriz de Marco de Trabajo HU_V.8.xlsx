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CB7A4A1C592F50AE/Imágenes/Documentos/"/>
    </mc:Choice>
  </mc:AlternateContent>
  <xr:revisionPtr revIDLastSave="0" documentId="8_{FBCDB36B-FF9B-46AA-A461-FB7D767669A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HU'!$B$3:$O$16</definedName>
    <definedName name="_xlnm.Print_Area" localSheetId="1">'Historia de Usuario'!$B$1:$P$25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C13" i="2"/>
  <c r="L22" i="2"/>
  <c r="E19" i="2"/>
  <c r="M15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<sst xmlns="http://schemas.openxmlformats.org/spreadsheetml/2006/main" count="154" uniqueCount="112">
  <si>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</si>
  <si>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</si>
  <si>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</si>
  <si>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</si>
  <si>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</si>
  <si>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</si>
  <si>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</si>
  <si>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</si>
  <si>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</si>
  <si>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</si>
  <si>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</si>
  <si>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</si>
  <si>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</si>
  <si>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</si>
  <si>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</si>
  <si>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</si>
  <si>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No hay control de acceso ni validación de usuarios</t>
  </si>
  <si>
    <t>El programa  debe tener un inicio de sesión con usuario y contraseña</t>
  </si>
  <si>
    <t>Para controlar el acceso y el flujo de personas</t>
  </si>
  <si>
    <t>Administradora</t>
  </si>
  <si>
    <t>Crear módulo de login con campos: usuario, contraseña y que valide las credenciales</t>
  </si>
  <si>
    <t>Jonathan Rodriguez</t>
  </si>
  <si>
    <t>ABR 26 - AGO 26</t>
  </si>
  <si>
    <t>Alta</t>
  </si>
  <si>
    <t>Terminado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</si>
  <si>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</si>
  <si>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</si>
  <si>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</si>
  <si>
    <t>REQ002</t>
  </si>
  <si>
    <t>No hay forma de agregar los productos al catalogo</t>
  </si>
  <si>
    <t>El programa debe agregar los productos con informacion importante para el administrador</t>
  </si>
  <si>
    <t>Para que el administrador pueda mantener todos sus productos dentro del catalogo.</t>
  </si>
  <si>
    <t>Diseñar un formulario que solicite la informacion del producto y lo guarde en el catalogo.</t>
  </si>
  <si>
    <t>Vicente Sanchez</t>
  </si>
  <si>
    <t>Llenar todos los datos solicitados, agregar el producto y verificar que se haya agregado al catalogo</t>
  </si>
  <si>
    <t>Validar espacios en blanco, caracteres raros</t>
  </si>
  <si>
    <t>Agregar productos al programa</t>
  </si>
  <si>
    <t>REQ003</t>
  </si>
  <si>
    <t>No hay forma de Editar los productos del catalogo</t>
  </si>
  <si>
    <t>El programa debe ser capaz de cambiar el estado o informacion de un producto</t>
  </si>
  <si>
    <t>Para que el administardor pueda actualizar o cambiar la informacion de un producto</t>
  </si>
  <si>
    <t>Abrir un formulario al seleccionar un producto, el cual nos muestre los datos del producto y nos permita cambiarlos</t>
  </si>
  <si>
    <t>Joel Tapia</t>
  </si>
  <si>
    <t>Seleccionar un producto y verficar que la informacion mostrada concuerde con el producto selecionado y ademas verificar que los cambios se reflejen</t>
  </si>
  <si>
    <t>Validar que un producto este seleccionado, en caso de no estarlo mandar una alerta</t>
  </si>
  <si>
    <t>Editar productos del programa</t>
  </si>
  <si>
    <t>REQ004</t>
  </si>
  <si>
    <t>No hay forma de eliminar los productos del catalogo</t>
  </si>
  <si>
    <t>El programa debe tener la capacidad de eliminar los productos del catalogo</t>
  </si>
  <si>
    <t>Para quitar productos que ya no se encuentran en el catalogo o que por error se ingresaron</t>
  </si>
  <si>
    <t>Agregar un botón de "Eliminar"  que nos pida seleccionar un producto para eliminarlo</t>
  </si>
  <si>
    <t>Seleccionar el producto que se desea eliminar, eliminarlo y verificar que toda la informacion asociada a el ya no aparezca</t>
  </si>
  <si>
    <t>Antes de eliminar cualquier producto, se debe enviar una alerta que pregunte al administrador si esta seguro de eliminar el producto</t>
  </si>
  <si>
    <t>Eliminar producto del programa</t>
  </si>
  <si>
    <t>REQ005</t>
  </si>
  <si>
    <t>No hay forma de buscar un producto en el catalogo.</t>
  </si>
  <si>
    <t>El programa debe mostrar solo los productos que coincidan con la busqueda</t>
  </si>
  <si>
    <t>Para encontrar rapidamente una pieza específica sin tener que buscar en toda la lista.</t>
  </si>
  <si>
    <t>Cliente</t>
  </si>
  <si>
    <t>Crear una barra de texto donde se pueda escribir el nombre del repuesto para el catologo general y para el catalogo del administrador .</t>
  </si>
  <si>
    <t>Juan Socasi</t>
  </si>
  <si>
    <t>Escribir un producto conocido en el buscador y verificar que aparezca en pantalla.</t>
  </si>
  <si>
    <t>Verificar que la busqueda concuerde con los productos que se estan mostrando</t>
  </si>
  <si>
    <t>Buscador de productos en el catalogo principal</t>
  </si>
  <si>
    <t>REQ006</t>
  </si>
  <si>
    <t>No hay forma de ver la informacion especifica de cada producto</t>
  </si>
  <si>
    <t>El programa debe mostrar la informacion especifica de cada producto</t>
  </si>
  <si>
    <t>Para conocer detalles tecnicos como compatibilidad de años, marca o material antes de venderlo.</t>
  </si>
  <si>
    <t>Administrador y Cliente</t>
  </si>
  <si>
    <t>Agregar un botón de "ver mas" que abra una ficha completa con la descripcion detallada del accesorio.</t>
  </si>
  <si>
    <t>Hacer clic en un producto y revisar que la información mostrada coincida con el artículo real.</t>
  </si>
  <si>
    <t>Despliega una ventana emergente o secundaria con las especificaciones del producto, evitando que la pantalla principal se llene de texto innecesario.</t>
  </si>
  <si>
    <t>Ficha tecnica de accesorios</t>
  </si>
  <si>
    <t>REQ007</t>
  </si>
  <si>
    <t xml:space="preserve">No se se puede mantener un contol de provedor </t>
  </si>
  <si>
    <t>El programa debe tener un formulario donde se pueda observar la informacion del provedor del producto</t>
  </si>
  <si>
    <t>Mantener un control sobre los provedores y los productos que ofrecen</t>
  </si>
  <si>
    <t>Añadir un apartado de "Detalles de Proveedor" donde se despliegue una ventana con la informacion completa del provedor</t>
  </si>
  <si>
    <t>Registrar un nuevo proveedor y verificar que aparezca correctamente en el producto asignado</t>
  </si>
  <si>
    <t>Requiere validación de campos obligatorios (RUC/Cédula, Teléfono, Correo) para evitar registros duplicados o incompletos.</t>
  </si>
  <si>
    <t>Control de provedores</t>
  </si>
  <si>
    <t>REQ008</t>
  </si>
  <si>
    <t>No hay forma de saber que productos tienen poco stock</t>
  </si>
  <si>
    <t>El programa debe tener una alerta informe cada vez que un producto tenga menos de 5 unidades</t>
  </si>
  <si>
    <t>Conocer que productos del negocio estan cerca de acabarse</t>
  </si>
  <si>
    <t>Agregar un indicador visual en la lista de productos cuando el stock sea menor a 5 unidades mostrar una sección o panel de alertas con los productos en stock crítico enviar notificación o mensaje al administrador al cargar el sistema si hay productos</t>
  </si>
  <si>
    <t>Reducir el stock de un producto a 4 unidades y verificar que aparezca el indicador de alerta</t>
  </si>
  <si>
    <t>La alerta debe actualizarse en tiempo real al modificar el inventario</t>
  </si>
  <si>
    <t xml:space="preserve"> Alertas de bajo stock</t>
  </si>
  <si>
    <t>REQ009</t>
  </si>
  <si>
    <t>No hay forma de saber que productos ya fueron solicitados a un provedor</t>
  </si>
  <si>
    <t>El programa debe tener un formulario que muestre que productos ya fueron solicitados</t>
  </si>
  <si>
    <t>Informar al cliente que productos ya se encuentran solicitados</t>
  </si>
  <si>
    <t>Agregar un estado o etiqueta visible en la ficha y lista de cada producto que haya sido pedido a un proveedor registrar la fecha de solicitud y el proveedor al que se pidió mostrar el estado actualizado automáticamente cuando el pedido llegue y se registre en el sistema</t>
  </si>
  <si>
    <t xml:space="preserve">Media </t>
  </si>
  <si>
    <t>Solicitar un producto a un proveedor desde el sistema y verificar que aparezca la etiqueta 'Solicitado' en la vista del cliente y del administrador</t>
  </si>
  <si>
    <t>El estado 'Solicitado' debe diferenciarse visualmente del estado 'En stock' y 'Agotado' Solo el administrador puede marcar un producto como solicitado</t>
  </si>
  <si>
    <t>informacion de productos solicitados</t>
  </si>
  <si>
    <t>.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</si>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</sst>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i/>
      <sz val="11"/>
      <color rgb="FFFF0000"/>
      <name val="Arial Narrow"/>
      <family val="2"/>
    </font>
    <font>
      <u/>
      <sz val="11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1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7" fillId="5" borderId="7" xfId="0" applyFont="1" applyFill="1" applyBorder="1"/>
    <xf numFmtId="0" fontId="10" fillId="5" borderId="9" xfId="0" applyFont="1" applyFill="1" applyBorder="1" applyAlignment="1">
      <alignment horizontal="left" vertical="center" wrapText="1"/>
    </xf>
    <xf numFmtId="0" fontId="11" fillId="5" borderId="9" xfId="0" applyFont="1" applyFill="1" applyBorder="1"/>
    <xf numFmtId="0" fontId="7" fillId="5" borderId="9" xfId="0" applyFont="1" applyFill="1" applyBorder="1"/>
    <xf numFmtId="0" fontId="7" fillId="5" borderId="8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2" fillId="3" borderId="5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5" fillId="2" borderId="14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0" fillId="0" borderId="0" xfId="0" applyAlignment="1"/>
    <xf numFmtId="0" fontId="4" fillId="0" borderId="13" xfId="0" applyFont="1" applyBorder="1" applyAlignment="1"/>
    <xf numFmtId="0" fontId="4" fillId="0" borderId="20" xfId="0" applyFont="1" applyBorder="1" applyAlignment="1"/>
    <xf numFmtId="0" fontId="4" fillId="0" borderId="22" xfId="0" applyFont="1" applyBorder="1" applyAlignment="1"/>
    <xf numFmtId="0" fontId="4" fillId="0" borderId="21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7" fillId="0" borderId="0" xfId="0" applyFont="1" applyAlignment="1"/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6"/>
  <sheetViews>
    <sheetView showGridLines="0" topLeftCell="A9" zoomScale="78" zoomScaleNormal="85" zoomScaleSheetLayoutView="85" workbookViewId="0">
      <selection activeCell="L14" sqref="L14"/>
    </sheetView>
  </sheetViews>
  <sheetFormatPr defaultColWidth="12.75" defaultRowHeight="15" customHeight="1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" customHeight="1">
      <c r="A3" s="1"/>
      <c r="B3" s="116" t="s">
        <v>0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"/>
      <c r="B4" s="61"/>
      <c r="C4" s="49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9.9" customHeight="1">
      <c r="A5" s="5"/>
      <c r="B5" s="4" t="s">
        <v>1</v>
      </c>
      <c r="C5" s="4" t="s">
        <v>2</v>
      </c>
      <c r="D5" s="48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09.9" customHeight="1">
      <c r="A6" s="5"/>
      <c r="B6" s="6" t="s">
        <v>15</v>
      </c>
      <c r="C6" s="45" t="s">
        <v>16</v>
      </c>
      <c r="D6" s="45" t="s">
        <v>17</v>
      </c>
      <c r="E6" s="45" t="s">
        <v>18</v>
      </c>
      <c r="F6" s="45" t="s">
        <v>19</v>
      </c>
      <c r="G6" s="45" t="s">
        <v>20</v>
      </c>
      <c r="H6" s="45" t="s">
        <v>21</v>
      </c>
      <c r="I6" s="45">
        <v>6</v>
      </c>
      <c r="J6" s="43" t="s">
        <v>22</v>
      </c>
      <c r="K6" s="45" t="s">
        <v>23</v>
      </c>
      <c r="L6" s="45" t="s">
        <v>24</v>
      </c>
      <c r="M6" s="46" t="s">
        <v>25</v>
      </c>
      <c r="N6" s="45" t="s">
        <v>26</v>
      </c>
      <c r="O6" s="47" t="s">
        <v>27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>
      <c r="A7" s="5"/>
      <c r="B7" s="6" t="s">
        <v>28</v>
      </c>
      <c r="C7" s="6" t="s">
        <v>29</v>
      </c>
      <c r="D7" s="6" t="s">
        <v>30</v>
      </c>
      <c r="E7" s="6" t="s">
        <v>31</v>
      </c>
      <c r="F7" s="6" t="s">
        <v>19</v>
      </c>
      <c r="G7" s="6" t="s">
        <v>32</v>
      </c>
      <c r="H7" s="6" t="s">
        <v>33</v>
      </c>
      <c r="I7" s="6">
        <v>6</v>
      </c>
      <c r="J7" s="43" t="s">
        <v>22</v>
      </c>
      <c r="K7" s="6" t="s">
        <v>23</v>
      </c>
      <c r="L7" s="6" t="s">
        <v>24</v>
      </c>
      <c r="M7" s="7" t="s">
        <v>34</v>
      </c>
      <c r="N7" s="6" t="s">
        <v>35</v>
      </c>
      <c r="O7" s="8" t="s">
        <v>36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>
      <c r="A8" s="5"/>
      <c r="B8" s="6" t="s">
        <v>37</v>
      </c>
      <c r="C8" s="6" t="s">
        <v>38</v>
      </c>
      <c r="D8" s="45" t="s">
        <v>39</v>
      </c>
      <c r="E8" s="45" t="s">
        <v>40</v>
      </c>
      <c r="F8" s="45" t="s">
        <v>19</v>
      </c>
      <c r="G8" s="45" t="s">
        <v>41</v>
      </c>
      <c r="H8" s="45" t="s">
        <v>42</v>
      </c>
      <c r="I8" s="45">
        <v>6</v>
      </c>
      <c r="J8" s="43" t="s">
        <v>22</v>
      </c>
      <c r="K8" s="45" t="s">
        <v>23</v>
      </c>
      <c r="L8" s="45" t="s">
        <v>24</v>
      </c>
      <c r="M8" s="46" t="s">
        <v>43</v>
      </c>
      <c r="N8" s="45" t="s">
        <v>44</v>
      </c>
      <c r="O8" s="47" t="s">
        <v>45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>
      <c r="A9" s="5"/>
      <c r="B9" s="6" t="s">
        <v>46</v>
      </c>
      <c r="C9" s="6" t="s">
        <v>47</v>
      </c>
      <c r="D9" s="6" t="s">
        <v>48</v>
      </c>
      <c r="E9" s="6" t="s">
        <v>49</v>
      </c>
      <c r="F9" s="6" t="s">
        <v>19</v>
      </c>
      <c r="G9" s="6" t="s">
        <v>50</v>
      </c>
      <c r="H9" s="6" t="s">
        <v>33</v>
      </c>
      <c r="I9" s="6">
        <v>6</v>
      </c>
      <c r="J9" s="43" t="s">
        <v>22</v>
      </c>
      <c r="K9" s="6" t="s">
        <v>23</v>
      </c>
      <c r="L9" s="6" t="s">
        <v>24</v>
      </c>
      <c r="M9" s="7" t="s">
        <v>51</v>
      </c>
      <c r="N9" s="6" t="s">
        <v>52</v>
      </c>
      <c r="O9" s="8" t="s">
        <v>53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09.9" customHeight="1">
      <c r="A10" s="5"/>
      <c r="B10" s="6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>
        <v>4</v>
      </c>
      <c r="J10" s="43" t="s">
        <v>22</v>
      </c>
      <c r="K10" s="6" t="s">
        <v>23</v>
      </c>
      <c r="L10" s="6" t="s">
        <v>24</v>
      </c>
      <c r="M10" s="7" t="s">
        <v>61</v>
      </c>
      <c r="N10" s="6" t="s">
        <v>62</v>
      </c>
      <c r="O10" s="8" t="s">
        <v>63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>
      <c r="A11" s="5"/>
      <c r="B11" s="6" t="s">
        <v>64</v>
      </c>
      <c r="C11" s="6" t="s">
        <v>65</v>
      </c>
      <c r="D11" s="6" t="s">
        <v>66</v>
      </c>
      <c r="E11" s="6" t="s">
        <v>67</v>
      </c>
      <c r="F11" s="6" t="s">
        <v>68</v>
      </c>
      <c r="G11" s="6" t="s">
        <v>69</v>
      </c>
      <c r="H11" s="6" t="s">
        <v>33</v>
      </c>
      <c r="I11" s="6">
        <v>6</v>
      </c>
      <c r="J11" s="43" t="s">
        <v>22</v>
      </c>
      <c r="K11" s="6" t="s">
        <v>23</v>
      </c>
      <c r="L11" s="6" t="s">
        <v>24</v>
      </c>
      <c r="M11" s="7" t="s">
        <v>70</v>
      </c>
      <c r="N11" s="6" t="s">
        <v>71</v>
      </c>
      <c r="O11" s="8" t="s">
        <v>72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>
      <c r="A12" s="5"/>
      <c r="B12" s="6" t="s">
        <v>73</v>
      </c>
      <c r="C12" s="6" t="s">
        <v>74</v>
      </c>
      <c r="D12" s="6" t="s">
        <v>75</v>
      </c>
      <c r="E12" s="6" t="s">
        <v>76</v>
      </c>
      <c r="F12" s="6" t="s">
        <v>19</v>
      </c>
      <c r="G12" s="6" t="s">
        <v>77</v>
      </c>
      <c r="H12" s="6" t="s">
        <v>42</v>
      </c>
      <c r="I12" s="6">
        <v>4</v>
      </c>
      <c r="J12" s="43" t="s">
        <v>22</v>
      </c>
      <c r="K12" s="6" t="s">
        <v>23</v>
      </c>
      <c r="L12" s="6" t="s">
        <v>24</v>
      </c>
      <c r="M12" s="7" t="s">
        <v>78</v>
      </c>
      <c r="N12" s="6" t="s">
        <v>79</v>
      </c>
      <c r="O12" s="8" t="s">
        <v>80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59" customFormat="1" ht="109.9" customHeight="1">
      <c r="A13" s="57"/>
      <c r="B13" s="6" t="s">
        <v>81</v>
      </c>
      <c r="C13" s="6" t="s">
        <v>82</v>
      </c>
      <c r="D13" s="44" t="s">
        <v>83</v>
      </c>
      <c r="E13" s="6" t="s">
        <v>84</v>
      </c>
      <c r="F13" s="6" t="s">
        <v>19</v>
      </c>
      <c r="G13" s="60" t="s">
        <v>85</v>
      </c>
      <c r="H13" s="6" t="s">
        <v>60</v>
      </c>
      <c r="I13" s="6">
        <v>4</v>
      </c>
      <c r="J13" s="43" t="s">
        <v>22</v>
      </c>
      <c r="K13" s="6" t="s">
        <v>23</v>
      </c>
      <c r="L13" s="6" t="s">
        <v>24</v>
      </c>
      <c r="M13" s="6" t="s">
        <v>86</v>
      </c>
      <c r="N13" s="6" t="s">
        <v>87</v>
      </c>
      <c r="O13" s="8" t="s">
        <v>88</v>
      </c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s="59" customFormat="1" ht="109.9" customHeight="1">
      <c r="A14" s="57"/>
      <c r="B14" s="6" t="s">
        <v>89</v>
      </c>
      <c r="C14" s="6" t="s">
        <v>90</v>
      </c>
      <c r="D14" s="6" t="s">
        <v>91</v>
      </c>
      <c r="E14" s="6" t="s">
        <v>92</v>
      </c>
      <c r="F14" s="6" t="s">
        <v>58</v>
      </c>
      <c r="G14" s="44" t="s">
        <v>93</v>
      </c>
      <c r="H14" s="6" t="s">
        <v>21</v>
      </c>
      <c r="I14" s="6">
        <v>4</v>
      </c>
      <c r="J14" s="43" t="s">
        <v>22</v>
      </c>
      <c r="K14" s="6" t="s">
        <v>94</v>
      </c>
      <c r="L14" s="6" t="s">
        <v>24</v>
      </c>
      <c r="M14" s="6" t="s">
        <v>95</v>
      </c>
      <c r="N14" s="6" t="s">
        <v>96</v>
      </c>
      <c r="O14" s="8" t="s">
        <v>97</v>
      </c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70.5" customHeight="1">
      <c r="A15" s="5"/>
      <c r="B15" s="6"/>
      <c r="C15" s="6"/>
      <c r="D15" s="6"/>
      <c r="E15" s="6"/>
      <c r="F15" s="6"/>
      <c r="G15" s="6"/>
      <c r="H15" s="6"/>
      <c r="I15" s="6"/>
      <c r="J15" s="43"/>
      <c r="K15" s="6"/>
      <c r="L15" s="6"/>
      <c r="M15" s="7"/>
      <c r="N15" s="6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1.5" customHeight="1">
      <c r="A16" s="5"/>
      <c r="B16" s="6"/>
      <c r="C16" s="6"/>
      <c r="D16" s="11"/>
      <c r="E16" s="6"/>
      <c r="F16" s="6"/>
      <c r="G16" s="11"/>
      <c r="H16" s="6"/>
      <c r="I16" s="6"/>
      <c r="J16" s="10"/>
      <c r="K16" s="6"/>
      <c r="L16" s="6"/>
      <c r="M16" s="6"/>
      <c r="N16" s="6"/>
      <c r="O16" s="1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8.5" customHeight="1">
      <c r="A17" s="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4"/>
      <c r="N22" s="18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>
      <c r="A23" s="5"/>
      <c r="B23" s="13"/>
      <c r="C23" s="14"/>
      <c r="D23" s="14"/>
      <c r="E23" s="5"/>
      <c r="F23" s="14"/>
      <c r="G23" s="14"/>
      <c r="H23" s="14"/>
      <c r="I23" s="15"/>
      <c r="J23" s="16"/>
      <c r="K23" s="15"/>
      <c r="L23" s="15"/>
      <c r="M23" s="14"/>
      <c r="N23" s="14"/>
      <c r="O23" s="1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5"/>
      <c r="B24" s="13"/>
      <c r="C24" s="14"/>
      <c r="D24" s="14"/>
      <c r="E24" s="14"/>
      <c r="F24" s="14"/>
      <c r="G24" s="14"/>
      <c r="H24" s="14"/>
      <c r="I24" s="15"/>
      <c r="J24" s="16"/>
      <c r="K24" s="15"/>
      <c r="L24" s="15"/>
      <c r="M24" s="18"/>
      <c r="N24" s="14"/>
      <c r="O24" s="1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5"/>
      <c r="B25" s="13"/>
      <c r="C25" s="14"/>
      <c r="D25" s="14"/>
      <c r="E25" s="14"/>
      <c r="F25" s="14"/>
      <c r="G25" s="14"/>
      <c r="H25" s="14"/>
      <c r="I25" s="15"/>
      <c r="J25" s="16"/>
      <c r="K25" s="15"/>
      <c r="L25" s="15"/>
      <c r="M25" s="14" t="s">
        <v>98</v>
      </c>
      <c r="N25" s="14"/>
      <c r="O25" s="1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5"/>
      <c r="B26" s="5"/>
      <c r="C26" s="5"/>
      <c r="D26" s="5"/>
      <c r="E26" s="5"/>
      <c r="F26" s="5"/>
      <c r="G26" s="5"/>
      <c r="H26" s="5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5"/>
      <c r="B28" s="5"/>
      <c r="C28" s="5"/>
      <c r="D28" s="5"/>
      <c r="E28" s="5"/>
      <c r="F28" s="5"/>
      <c r="G28" s="5"/>
      <c r="H28" s="18"/>
      <c r="I28" s="20"/>
      <c r="J28" s="20"/>
      <c r="K28" s="21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5"/>
      <c r="B29" s="5"/>
      <c r="C29" s="5"/>
      <c r="D29" s="5"/>
      <c r="E29" s="5"/>
      <c r="F29" s="5"/>
      <c r="G29" s="5"/>
      <c r="H29" s="5"/>
      <c r="I29" s="20"/>
      <c r="J29" s="20"/>
      <c r="K29" s="21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5"/>
      <c r="B30" s="5"/>
      <c r="C30" s="5"/>
      <c r="D30" s="5"/>
      <c r="E30" s="5"/>
      <c r="F30" s="5"/>
      <c r="G30" s="5"/>
      <c r="H30" s="5"/>
      <c r="I30" s="20"/>
      <c r="J30" s="20"/>
      <c r="K30" s="22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5"/>
      <c r="B31" s="5"/>
      <c r="C31" s="5"/>
      <c r="D31" s="5"/>
      <c r="E31" s="5"/>
      <c r="F31" s="5"/>
      <c r="G31" s="5"/>
      <c r="H31" s="5"/>
      <c r="I31" s="20"/>
      <c r="J31" s="20"/>
      <c r="K31" s="22"/>
      <c r="L31" s="20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5"/>
      <c r="B32" s="5"/>
      <c r="C32" s="5"/>
      <c r="D32" s="5"/>
      <c r="E32" s="5"/>
      <c r="F32" s="5"/>
      <c r="G32" s="5"/>
      <c r="H32" s="5"/>
      <c r="I32" s="20"/>
      <c r="J32" s="20"/>
      <c r="K32" s="21"/>
      <c r="L32" s="20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5"/>
      <c r="B33" s="5"/>
      <c r="C33" s="5"/>
      <c r="D33" s="5"/>
      <c r="E33" s="5"/>
      <c r="F33" s="5"/>
      <c r="G33" s="5"/>
      <c r="H33" s="5"/>
      <c r="I33" s="20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5"/>
      <c r="B34" s="5"/>
      <c r="C34" s="5"/>
      <c r="D34" s="5"/>
      <c r="E34" s="5"/>
      <c r="F34" s="5"/>
      <c r="G34" s="5"/>
      <c r="H34" s="5"/>
      <c r="I34" s="20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23</v>
      </c>
      <c r="L35" s="21" t="s">
        <v>99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5"/>
      <c r="B36" s="5"/>
      <c r="C36" s="5"/>
      <c r="D36" s="5"/>
      <c r="E36" s="5"/>
      <c r="F36" s="5"/>
      <c r="G36" s="5"/>
      <c r="H36" s="5"/>
      <c r="I36" s="20"/>
      <c r="J36" s="5"/>
      <c r="K36" s="21" t="s">
        <v>94</v>
      </c>
      <c r="L36" s="21" t="s">
        <v>100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>
      <c r="A37" s="5"/>
      <c r="B37" s="5"/>
      <c r="C37" s="5"/>
      <c r="D37" s="5"/>
      <c r="E37" s="5"/>
      <c r="F37" s="5"/>
      <c r="G37" s="5"/>
      <c r="H37" s="5"/>
      <c r="I37" s="20"/>
      <c r="J37" s="5"/>
      <c r="K37" s="21" t="s">
        <v>101</v>
      </c>
      <c r="L37" s="21" t="s">
        <v>24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5"/>
      <c r="B38" s="5"/>
      <c r="C38" s="5"/>
      <c r="D38" s="5"/>
      <c r="E38" s="5"/>
      <c r="F38" s="5"/>
      <c r="G38" s="5"/>
      <c r="H38" s="5"/>
      <c r="I38" s="20"/>
      <c r="J38" s="5"/>
      <c r="K38" s="21"/>
      <c r="L38" s="21" t="s">
        <v>102</v>
      </c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20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20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5"/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customHeight="1">
      <c r="A1005" s="65"/>
      <c r="B1005" s="5"/>
      <c r="C1005" s="5"/>
      <c r="D1005" s="5"/>
      <c r="E1005" s="5"/>
      <c r="F1005" s="5"/>
      <c r="G1005" s="5"/>
      <c r="H1005" s="5"/>
      <c r="I1005" s="20"/>
      <c r="J1005" s="20"/>
      <c r="K1005" s="21"/>
      <c r="L1005" s="20"/>
      <c r="M1005" s="5"/>
      <c r="N1005" s="5"/>
      <c r="O1005" s="1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</row>
    <row r="1006" spans="1:26" ht="15" customHeight="1">
      <c r="A1006" s="65"/>
      <c r="B1006" s="5"/>
      <c r="C1006" s="5"/>
      <c r="D1006" s="5"/>
      <c r="E1006" s="5"/>
      <c r="F1006" s="5"/>
      <c r="G1006" s="5"/>
      <c r="H1006" s="5"/>
      <c r="I1006" s="20"/>
      <c r="J1006" s="20"/>
      <c r="K1006" s="21"/>
      <c r="L1006" s="20"/>
      <c r="M1006" s="5"/>
      <c r="N1006" s="5"/>
      <c r="O1006" s="1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</row>
  </sheetData>
  <mergeCells count="1">
    <mergeCell ref="B3:O3"/>
  </mergeCells>
  <phoneticPr fontId="22" type="noConversion"/>
  <conditionalFormatting sqref="K7">
    <cfRule type="colorScale" priority="1">
      <colorScale>
        <cfvo type="min"/>
        <cfvo type="max"/>
        <color rgb="FFFFFFFF"/>
        <color rgb="FF57BB8A"/>
      </colorScale>
    </cfRule>
  </conditionalFormatting>
  <conditionalFormatting sqref="K9:K12">
    <cfRule type="colorScale" priority="4">
      <colorScale>
        <cfvo type="min"/>
        <cfvo type="max"/>
        <color rgb="FFFFFFFF"/>
        <color rgb="FF57BB8A"/>
      </colorScale>
    </cfRule>
  </conditionalFormatting>
  <conditionalFormatting sqref="L7">
    <cfRule type="colorScale" priority="2">
      <colorScale>
        <cfvo type="min"/>
        <cfvo type="max"/>
        <color rgb="FF57BB8A"/>
        <color rgb="FFFFFFFF"/>
      </colorScale>
    </cfRule>
  </conditionalFormatting>
  <conditionalFormatting sqref="L9:L17">
    <cfRule type="colorScale" priority="5">
      <colorScale>
        <cfvo type="min"/>
        <cfvo type="max"/>
        <color rgb="FF57BB8A"/>
        <color rgb="FFFFFFFF"/>
      </colorScale>
    </cfRule>
  </conditionalFormatting>
  <conditionalFormatting sqref="L12">
    <cfRule type="colorScale" priority="6">
      <colorScale>
        <cfvo type="min"/>
        <cfvo type="max"/>
        <color rgb="FF57BB8A"/>
        <color rgb="FFFFFFFF"/>
      </colorScale>
    </cfRule>
  </conditionalFormatting>
  <conditionalFormatting sqref="L13:L15">
    <cfRule type="colorScale" priority="3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9:L16 L7" xr:uid="{00000000-0002-0000-0000-000000000000}">
      <formula1>$L$35:$L$38</formula1>
    </dataValidation>
    <dataValidation type="list" allowBlank="1" showErrorMessage="1" sqref="K9:K16 K7" xr:uid="{00000000-0002-0000-0000-000001000000}">
      <formula1>$K$35:$K$37</formula1>
    </dataValidation>
    <dataValidation type="custom" allowBlank="1" showDropDown="1" sqref="J6:J16" xr:uid="{00000000-0002-0000-0000-000002000000}">
      <formula1>OR(NOT(ISERROR(DATEVALUE(J6))), AND(ISNUMBER(J6), LEFT(CELL("format", J6))="D"))</formula1>
    </dataValidation>
    <dataValidation type="list" allowBlank="1" showErrorMessage="1" sqref="K18:L25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abSelected="1" zoomScaleNormal="100" zoomScaleSheetLayoutView="79" workbookViewId="0">
      <selection activeCell="C10" sqref="C10"/>
    </sheetView>
  </sheetViews>
  <sheetFormatPr defaultColWidth="12.75" defaultRowHeight="15" customHeight="1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hidden="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idden="1">
      <c r="A4" s="65"/>
      <c r="B4" s="65"/>
      <c r="C4" s="23"/>
      <c r="D4" s="23"/>
      <c r="E4" s="23"/>
      <c r="F4" s="24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idden="1">
      <c r="A5" s="65"/>
      <c r="B5" s="65"/>
      <c r="C5" s="23"/>
      <c r="D5" s="23"/>
      <c r="E5" s="23"/>
      <c r="F5" s="24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39.75" customHeight="1">
      <c r="A6" s="65"/>
      <c r="B6" s="106" t="s">
        <v>103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9.75" customHeight="1">
      <c r="A7" s="67"/>
      <c r="B7" s="67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9.75" customHeight="1">
      <c r="A8" s="65"/>
      <c r="B8" s="50"/>
      <c r="C8" s="51"/>
      <c r="D8" s="51"/>
      <c r="E8" s="51"/>
      <c r="F8" s="52"/>
      <c r="G8" s="53"/>
      <c r="H8" s="53"/>
      <c r="I8" s="53"/>
      <c r="J8" s="53"/>
      <c r="K8" s="53"/>
      <c r="L8" s="53"/>
      <c r="M8" s="53"/>
      <c r="N8" s="53"/>
      <c r="O8" s="53"/>
      <c r="P8" s="54"/>
      <c r="Q8" s="67"/>
      <c r="R8" s="65"/>
      <c r="S8" s="65"/>
      <c r="T8" s="65"/>
      <c r="U8" s="65"/>
      <c r="V8" s="65"/>
      <c r="W8" s="65"/>
      <c r="X8" s="65"/>
      <c r="Y8" s="65"/>
      <c r="Z8" s="65"/>
    </row>
    <row r="9" spans="1:26" ht="30" customHeight="1">
      <c r="A9" s="65"/>
      <c r="B9" s="55"/>
      <c r="C9" s="26" t="s">
        <v>1</v>
      </c>
      <c r="D9" s="27"/>
      <c r="E9" s="104" t="s">
        <v>104</v>
      </c>
      <c r="F9" s="118"/>
      <c r="G9" s="27"/>
      <c r="H9" s="104" t="s">
        <v>11</v>
      </c>
      <c r="I9" s="118"/>
      <c r="J9" s="28"/>
      <c r="K9" s="28"/>
      <c r="L9" s="28"/>
      <c r="M9" s="28"/>
      <c r="N9" s="28"/>
      <c r="O9" s="28"/>
      <c r="P9" s="56"/>
      <c r="Q9" s="67"/>
      <c r="R9" s="65"/>
      <c r="S9" s="65"/>
      <c r="T9" s="65"/>
      <c r="U9" s="65"/>
      <c r="V9" s="65"/>
      <c r="W9" s="65"/>
      <c r="X9" s="65"/>
      <c r="Y9" s="65"/>
      <c r="Z9" s="65"/>
    </row>
    <row r="10" spans="1:26" ht="30" customHeight="1">
      <c r="A10" s="65"/>
      <c r="B10" s="55"/>
      <c r="C10" s="29" t="s">
        <v>54</v>
      </c>
      <c r="D10" s="30"/>
      <c r="E10" s="105" t="str">
        <f>VLOOKUP(C10,'Formato descripción HU'!B6:O25,5,0)</f>
        <v>Cliente</v>
      </c>
      <c r="F10" s="118"/>
      <c r="G10" s="31"/>
      <c r="H10" s="105" t="str">
        <f>VLOOKUP(C10,'Formato descripción HU'!B6:O25,11,0)</f>
        <v>Terminado</v>
      </c>
      <c r="I10" s="118"/>
      <c r="J10" s="31"/>
      <c r="K10" s="28"/>
      <c r="L10" s="28"/>
      <c r="M10" s="28"/>
      <c r="N10" s="28"/>
      <c r="O10" s="28"/>
      <c r="P10" s="56"/>
      <c r="Q10" s="67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9.75" customHeight="1">
      <c r="A11" s="67"/>
      <c r="B11" s="55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8"/>
      <c r="N11" s="33"/>
      <c r="O11" s="33"/>
      <c r="P11" s="56"/>
      <c r="Q11" s="67"/>
      <c r="R11" s="67"/>
      <c r="S11" s="65"/>
      <c r="T11" s="67"/>
      <c r="U11" s="67"/>
      <c r="V11" s="67"/>
      <c r="W11" s="67"/>
      <c r="X11" s="67"/>
      <c r="Y11" s="67"/>
      <c r="Z11" s="67"/>
    </row>
    <row r="12" spans="1:26" ht="30" customHeight="1">
      <c r="A12" s="67"/>
      <c r="B12" s="55"/>
      <c r="C12" s="26" t="s">
        <v>105</v>
      </c>
      <c r="D12" s="30"/>
      <c r="E12" s="104" t="s">
        <v>10</v>
      </c>
      <c r="F12" s="118"/>
      <c r="G12" s="31"/>
      <c r="H12" s="104" t="s">
        <v>106</v>
      </c>
      <c r="I12" s="118"/>
      <c r="J12" s="31"/>
      <c r="K12" s="33"/>
      <c r="L12" s="33"/>
      <c r="M12" s="28"/>
      <c r="N12" s="33"/>
      <c r="O12" s="33"/>
      <c r="P12" s="56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30" customHeight="1">
      <c r="A13" s="67"/>
      <c r="B13" s="55"/>
      <c r="C13" s="29">
        <f>VLOOKUP('Historia de Usuario'!C10,'Formato descripción HU'!B6:O25,8,0)</f>
        <v>4</v>
      </c>
      <c r="D13" s="30"/>
      <c r="E13" s="105" t="str">
        <f>VLOOKUP(C10,'Formato descripción HU'!B6:O25,10,0)</f>
        <v>Alta</v>
      </c>
      <c r="F13" s="118"/>
      <c r="G13" s="31"/>
      <c r="H13" s="105" t="str">
        <f>VLOOKUP(C10,'Formato descripción HU'!B6:O25,7,0)</f>
        <v>Juan Socasi</v>
      </c>
      <c r="I13" s="118"/>
      <c r="J13" s="31"/>
      <c r="K13" s="33"/>
      <c r="L13" s="33"/>
      <c r="M13" s="28"/>
      <c r="N13" s="33"/>
      <c r="O13" s="33"/>
      <c r="P13" s="56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9.75" customHeight="1">
      <c r="A14" s="67"/>
      <c r="B14" s="55"/>
      <c r="C14" s="28"/>
      <c r="D14" s="30"/>
      <c r="E14" s="28"/>
      <c r="F14" s="28"/>
      <c r="G14" s="31"/>
      <c r="H14" s="31"/>
      <c r="I14" s="28"/>
      <c r="J14" s="28"/>
      <c r="K14" s="28"/>
      <c r="L14" s="28"/>
      <c r="M14" s="28"/>
      <c r="N14" s="28"/>
      <c r="O14" s="28"/>
      <c r="P14" s="56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9.5" customHeight="1">
      <c r="A15" s="67"/>
      <c r="B15" s="55"/>
      <c r="C15" s="92" t="s">
        <v>107</v>
      </c>
      <c r="D15" s="82" t="str">
        <f>VLOOKUP(C10,'Formato descripción HU'!B6:O25,3,0)</f>
        <v>El programa debe mostrar solo los productos que coincidan con la busqueda</v>
      </c>
      <c r="E15" s="119"/>
      <c r="F15" s="34"/>
      <c r="G15" s="92" t="s">
        <v>108</v>
      </c>
      <c r="H15" s="82" t="str">
        <f>VLOOKUP(C10,'Formato descripción HU'!B6:O25,4,0)</f>
        <v>Para encontrar rapidamente una pieza específica sin tener que buscar en toda la lista.</v>
      </c>
      <c r="I15" s="120"/>
      <c r="J15" s="119"/>
      <c r="K15" s="34"/>
      <c r="L15" s="92" t="s">
        <v>109</v>
      </c>
      <c r="M15" s="93" t="str">
        <f>VLOOKUP(C10,'Formato descripción HU'!B6:O25,6,0)</f>
        <v>Crear una barra de texto donde se pueda escribir el nombre del repuesto para el catologo general y para el catalogo del administrador .</v>
      </c>
      <c r="N15" s="94"/>
      <c r="O15" s="95"/>
      <c r="P15" s="56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9.5" customHeight="1">
      <c r="A16" s="67"/>
      <c r="B16" s="55"/>
      <c r="C16" s="121"/>
      <c r="D16" s="122"/>
      <c r="E16" s="123"/>
      <c r="F16" s="34"/>
      <c r="G16" s="121"/>
      <c r="H16" s="122"/>
      <c r="I16" s="124"/>
      <c r="J16" s="123"/>
      <c r="K16" s="34"/>
      <c r="L16" s="121"/>
      <c r="M16" s="96"/>
      <c r="N16" s="97"/>
      <c r="O16" s="98"/>
      <c r="P16" s="56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9.5" customHeight="1">
      <c r="A17" s="67"/>
      <c r="B17" s="55"/>
      <c r="C17" s="125"/>
      <c r="D17" s="126"/>
      <c r="E17" s="127"/>
      <c r="F17" s="34"/>
      <c r="G17" s="125"/>
      <c r="H17" s="126"/>
      <c r="I17" s="128"/>
      <c r="J17" s="127"/>
      <c r="K17" s="34"/>
      <c r="L17" s="125"/>
      <c r="M17" s="99"/>
      <c r="N17" s="100"/>
      <c r="O17" s="101"/>
      <c r="P17" s="56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9.75" customHeight="1">
      <c r="A18" s="67"/>
      <c r="B18" s="55"/>
      <c r="C18" s="28"/>
      <c r="D18" s="28"/>
      <c r="E18" s="28"/>
      <c r="F18" s="28"/>
      <c r="G18" s="31"/>
      <c r="H18" s="31"/>
      <c r="I18" s="31"/>
      <c r="J18" s="28"/>
      <c r="K18" s="28"/>
      <c r="L18" s="28"/>
      <c r="M18" s="28"/>
      <c r="N18" s="28"/>
      <c r="O18" s="28"/>
      <c r="P18" s="56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9.5" customHeight="1">
      <c r="A19" s="65"/>
      <c r="B19" s="55"/>
      <c r="C19" s="103" t="s">
        <v>110</v>
      </c>
      <c r="D19" s="119"/>
      <c r="E19" s="102" t="str">
        <f>VLOOKUP(C10,'Formato descripción HU'!B6:O25,14,0)</f>
        <v>Buscador de productos en el catalogo principal</v>
      </c>
      <c r="F19" s="129"/>
      <c r="G19" s="129"/>
      <c r="H19" s="129"/>
      <c r="I19" s="129"/>
      <c r="J19" s="129"/>
      <c r="K19" s="129"/>
      <c r="L19" s="129"/>
      <c r="M19" s="129"/>
      <c r="N19" s="129"/>
      <c r="O19" s="130"/>
      <c r="P19" s="56"/>
      <c r="Q19" s="67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9.5" customHeight="1">
      <c r="A20" s="65"/>
      <c r="B20" s="55"/>
      <c r="C20" s="126"/>
      <c r="D20" s="127"/>
      <c r="E20" s="131"/>
      <c r="F20" s="132"/>
      <c r="G20" s="132"/>
      <c r="H20" s="132"/>
      <c r="I20" s="132"/>
      <c r="J20" s="132"/>
      <c r="K20" s="132"/>
      <c r="L20" s="132"/>
      <c r="M20" s="132"/>
      <c r="N20" s="132"/>
      <c r="O20" s="133"/>
      <c r="P20" s="56"/>
      <c r="Q20" s="67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9.75" customHeight="1">
      <c r="A21" s="65"/>
      <c r="B21" s="5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6"/>
      <c r="Q21" s="67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9.5" customHeight="1">
      <c r="A22" s="67"/>
      <c r="B22" s="55"/>
      <c r="C22" s="81" t="s">
        <v>111</v>
      </c>
      <c r="D22" s="119"/>
      <c r="E22" s="82" t="str">
        <f>VLOOKUP(C10,'Formato descripción HU'!B6:O23,12,0)</f>
        <v>Escribir un producto conocido en el buscador y verificar que aparezca en pantalla.</v>
      </c>
      <c r="F22" s="83"/>
      <c r="G22" s="83"/>
      <c r="H22" s="84"/>
      <c r="I22" s="28"/>
      <c r="J22" s="81" t="s">
        <v>13</v>
      </c>
      <c r="K22" s="119"/>
      <c r="L22" s="82" t="str">
        <f>VLOOKUP(C10,'Formato descripción HU'!B6:O25,13,0)</f>
        <v>Verificar que la busqueda concuerde con los productos que se estan mostrando</v>
      </c>
      <c r="M22" s="120"/>
      <c r="N22" s="120"/>
      <c r="O22" s="119"/>
      <c r="P22" s="56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9.5" customHeight="1">
      <c r="A23" s="67"/>
      <c r="B23" s="55"/>
      <c r="C23" s="122"/>
      <c r="D23" s="123"/>
      <c r="E23" s="85"/>
      <c r="F23" s="86"/>
      <c r="G23" s="86"/>
      <c r="H23" s="87"/>
      <c r="I23" s="28"/>
      <c r="J23" s="122"/>
      <c r="K23" s="123"/>
      <c r="L23" s="122"/>
      <c r="M23" s="124"/>
      <c r="N23" s="124"/>
      <c r="O23" s="123"/>
      <c r="P23" s="56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9.5" customHeight="1">
      <c r="A24" s="67"/>
      <c r="B24" s="55"/>
      <c r="C24" s="126"/>
      <c r="D24" s="127"/>
      <c r="E24" s="88"/>
      <c r="F24" s="89"/>
      <c r="G24" s="89"/>
      <c r="H24" s="90"/>
      <c r="I24" s="28"/>
      <c r="J24" s="126"/>
      <c r="K24" s="127"/>
      <c r="L24" s="126"/>
      <c r="M24" s="128"/>
      <c r="N24" s="128"/>
      <c r="O24" s="127"/>
      <c r="P24" s="56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9.75" customHeight="1">
      <c r="A25" s="67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9.5" customHeight="1">
      <c r="A26" s="65"/>
      <c r="B26" s="65"/>
      <c r="C26" s="23"/>
      <c r="D26" s="23"/>
      <c r="E26" s="23"/>
      <c r="F26" s="24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21">
      <c r="A27" s="67"/>
      <c r="B27" s="91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9.5" customHeight="1">
      <c r="A28" s="67"/>
      <c r="B28" s="67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9.5" customHeight="1">
      <c r="A29" s="65"/>
      <c r="B29" s="67"/>
      <c r="C29" s="23"/>
      <c r="D29" s="23"/>
      <c r="E29" s="23"/>
      <c r="F29" s="24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9.5" customHeight="1">
      <c r="A30" s="65"/>
      <c r="B30" s="67"/>
      <c r="C30" s="68"/>
      <c r="D30" s="38"/>
      <c r="E30" s="74"/>
      <c r="F30" s="124"/>
      <c r="G30" s="38"/>
      <c r="H30" s="74"/>
      <c r="I30" s="124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9.5" customHeight="1">
      <c r="A31" s="67"/>
      <c r="B31" s="67"/>
      <c r="C31" s="68"/>
      <c r="D31" s="39"/>
      <c r="E31" s="74"/>
      <c r="F31" s="124"/>
      <c r="G31" s="40"/>
      <c r="H31" s="74"/>
      <c r="I31" s="124"/>
      <c r="J31" s="40"/>
      <c r="K31" s="70"/>
      <c r="L31" s="70"/>
      <c r="M31" s="67"/>
      <c r="N31" s="70"/>
      <c r="O31" s="70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9.5" customHeight="1">
      <c r="A32" s="67"/>
      <c r="B32" s="67"/>
      <c r="C32" s="69"/>
      <c r="D32" s="39"/>
      <c r="E32" s="72"/>
      <c r="F32" s="124"/>
      <c r="G32" s="40"/>
      <c r="H32" s="72"/>
      <c r="I32" s="124"/>
      <c r="J32" s="40"/>
      <c r="K32" s="70"/>
      <c r="L32" s="70"/>
      <c r="M32" s="67"/>
      <c r="N32" s="70"/>
      <c r="O32" s="70"/>
      <c r="P32" s="67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16" ht="19.5" customHeight="1">
      <c r="A33" s="67"/>
      <c r="B33" s="67"/>
      <c r="C33" s="67"/>
      <c r="D33" s="39"/>
      <c r="E33" s="67"/>
      <c r="F33" s="67"/>
      <c r="G33" s="40"/>
      <c r="H33" s="40"/>
      <c r="I33" s="67"/>
      <c r="J33" s="67"/>
      <c r="K33" s="67"/>
      <c r="L33" s="67"/>
      <c r="M33" s="67"/>
      <c r="N33" s="67"/>
      <c r="O33" s="67"/>
      <c r="P33" s="67"/>
    </row>
    <row r="34" spans="1:16" ht="19.5" customHeight="1">
      <c r="A34" s="67"/>
      <c r="B34" s="67"/>
      <c r="C34" s="74"/>
      <c r="D34" s="75"/>
      <c r="E34" s="124"/>
      <c r="F34" s="41"/>
      <c r="G34" s="74"/>
      <c r="H34" s="75"/>
      <c r="I34" s="124"/>
      <c r="J34" s="124"/>
      <c r="K34" s="41"/>
      <c r="L34" s="74"/>
      <c r="M34" s="79"/>
      <c r="N34" s="124"/>
      <c r="O34" s="124"/>
      <c r="P34" s="67"/>
    </row>
    <row r="35" spans="1:16" ht="19.5" customHeight="1">
      <c r="A35" s="67"/>
      <c r="B35" s="67"/>
      <c r="C35" s="124"/>
      <c r="D35" s="124"/>
      <c r="E35" s="124"/>
      <c r="F35" s="41"/>
      <c r="G35" s="124"/>
      <c r="H35" s="124"/>
      <c r="I35" s="124"/>
      <c r="J35" s="124"/>
      <c r="K35" s="41"/>
      <c r="L35" s="124"/>
      <c r="M35" s="124"/>
      <c r="N35" s="124"/>
      <c r="O35" s="124"/>
      <c r="P35" s="67"/>
    </row>
    <row r="36" spans="1:16" ht="19.5" customHeight="1">
      <c r="A36" s="67"/>
      <c r="B36" s="67"/>
      <c r="C36" s="124"/>
      <c r="D36" s="124"/>
      <c r="E36" s="124"/>
      <c r="F36" s="41"/>
      <c r="G36" s="124"/>
      <c r="H36" s="124"/>
      <c r="I36" s="124"/>
      <c r="J36" s="124"/>
      <c r="K36" s="41"/>
      <c r="L36" s="124"/>
      <c r="M36" s="124"/>
      <c r="N36" s="124"/>
      <c r="O36" s="124"/>
      <c r="P36" s="67"/>
    </row>
    <row r="37" spans="1:16" ht="19.5" customHeight="1">
      <c r="A37" s="67"/>
      <c r="B37" s="67"/>
      <c r="C37" s="67"/>
      <c r="D37" s="67"/>
      <c r="E37" s="67"/>
      <c r="F37" s="67"/>
      <c r="G37" s="40"/>
      <c r="H37" s="40"/>
      <c r="I37" s="40"/>
      <c r="J37" s="67"/>
      <c r="K37" s="67"/>
      <c r="L37" s="67"/>
      <c r="M37" s="67"/>
      <c r="N37" s="67"/>
      <c r="O37" s="67"/>
      <c r="P37" s="67"/>
    </row>
    <row r="38" spans="1:16" ht="19.5" customHeight="1">
      <c r="A38" s="65"/>
      <c r="B38" s="67"/>
      <c r="C38" s="78"/>
      <c r="D38" s="124"/>
      <c r="E38" s="80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67"/>
    </row>
    <row r="39" spans="1:16" ht="19.5" customHeight="1">
      <c r="A39" s="65"/>
      <c r="B39" s="67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67"/>
    </row>
    <row r="40" spans="1:16" ht="19.5" customHeight="1">
      <c r="A40" s="65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spans="1:16" ht="19.5" customHeight="1">
      <c r="A41" s="67"/>
      <c r="B41" s="67"/>
      <c r="C41" s="74"/>
      <c r="D41" s="124"/>
      <c r="E41" s="77"/>
      <c r="F41" s="124"/>
      <c r="G41" s="124"/>
      <c r="H41" s="124"/>
      <c r="I41" s="67"/>
      <c r="J41" s="74"/>
      <c r="K41" s="124"/>
      <c r="L41" s="75"/>
      <c r="M41" s="124"/>
      <c r="N41" s="124"/>
      <c r="O41" s="124"/>
      <c r="P41" s="67"/>
    </row>
    <row r="42" spans="1:16" ht="19.5" customHeight="1">
      <c r="A42" s="67"/>
      <c r="B42" s="67"/>
      <c r="C42" s="124"/>
      <c r="D42" s="124"/>
      <c r="E42" s="124"/>
      <c r="F42" s="124"/>
      <c r="G42" s="124"/>
      <c r="H42" s="124"/>
      <c r="I42" s="67"/>
      <c r="J42" s="124"/>
      <c r="K42" s="124"/>
      <c r="L42" s="124"/>
      <c r="M42" s="124"/>
      <c r="N42" s="124"/>
      <c r="O42" s="124"/>
      <c r="P42" s="67"/>
    </row>
    <row r="43" spans="1:16" ht="19.5" customHeight="1">
      <c r="A43" s="67"/>
      <c r="B43" s="67"/>
      <c r="C43" s="124"/>
      <c r="D43" s="124"/>
      <c r="E43" s="124"/>
      <c r="F43" s="124"/>
      <c r="G43" s="124"/>
      <c r="H43" s="124"/>
      <c r="I43" s="67"/>
      <c r="J43" s="124"/>
      <c r="K43" s="124"/>
      <c r="L43" s="124"/>
      <c r="M43" s="124"/>
      <c r="N43" s="124"/>
      <c r="O43" s="124"/>
      <c r="P43" s="67"/>
    </row>
    <row r="44" spans="1:16" ht="19.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</row>
    <row r="45" spans="1:16" ht="19.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</row>
    <row r="46" spans="1:16" ht="19.5" customHeight="1">
      <c r="A46" s="67"/>
      <c r="B46" s="76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</row>
    <row r="47" spans="1:16" ht="19.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</row>
    <row r="48" spans="1:16" ht="19.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</row>
    <row r="49" spans="1:16" ht="19.5" customHeight="1">
      <c r="A49" s="67"/>
      <c r="B49" s="67"/>
      <c r="C49" s="64"/>
      <c r="D49" s="67"/>
      <c r="E49" s="73"/>
      <c r="F49" s="124"/>
      <c r="G49" s="67"/>
      <c r="H49" s="73"/>
      <c r="I49" s="124"/>
      <c r="J49" s="67"/>
      <c r="K49" s="67"/>
      <c r="L49" s="67"/>
      <c r="M49" s="67"/>
      <c r="N49" s="67"/>
      <c r="O49" s="67"/>
      <c r="P49" s="67"/>
    </row>
    <row r="50" spans="1:16" ht="19.5" customHeight="1">
      <c r="A50" s="67"/>
      <c r="B50" s="67"/>
      <c r="C50" s="66"/>
      <c r="D50" s="67"/>
      <c r="E50" s="71"/>
      <c r="F50" s="124"/>
      <c r="G50" s="67"/>
      <c r="H50" s="72"/>
      <c r="I50" s="124"/>
      <c r="J50" s="67"/>
      <c r="K50" s="67"/>
      <c r="L50" s="67"/>
      <c r="M50" s="67"/>
      <c r="N50" s="67"/>
      <c r="O50" s="67"/>
      <c r="P50" s="67"/>
    </row>
    <row r="51" spans="1:16" ht="19.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</row>
    <row r="52" spans="1:16" ht="19.5" customHeight="1">
      <c r="A52" s="67"/>
      <c r="B52" s="67"/>
      <c r="C52" s="64"/>
      <c r="D52" s="67"/>
      <c r="E52" s="73"/>
      <c r="F52" s="124"/>
      <c r="G52" s="67"/>
      <c r="H52" s="73"/>
      <c r="I52" s="124"/>
      <c r="J52" s="67"/>
      <c r="K52" s="67"/>
      <c r="L52" s="67"/>
      <c r="M52" s="67"/>
      <c r="N52" s="67"/>
      <c r="O52" s="67"/>
      <c r="P52" s="67"/>
    </row>
    <row r="53" spans="1:16" ht="15.75" customHeight="1">
      <c r="A53" s="67"/>
      <c r="B53" s="67"/>
      <c r="C53" s="66"/>
      <c r="D53" s="67"/>
      <c r="E53" s="71"/>
      <c r="F53" s="124"/>
      <c r="G53" s="67"/>
      <c r="H53" s="71"/>
      <c r="I53" s="124"/>
      <c r="J53" s="67"/>
      <c r="K53" s="67"/>
      <c r="L53" s="67"/>
      <c r="M53" s="67"/>
      <c r="N53" s="67"/>
      <c r="O53" s="67"/>
      <c r="P53" s="67"/>
    </row>
    <row r="54" spans="1:16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</row>
    <row r="55" spans="1:16" ht="15.75" customHeight="1">
      <c r="A55" s="67"/>
      <c r="B55" s="67"/>
      <c r="C55" s="73"/>
      <c r="D55" s="75"/>
      <c r="E55" s="124"/>
      <c r="F55" s="67"/>
      <c r="G55" s="73"/>
      <c r="H55" s="111"/>
      <c r="I55" s="124"/>
      <c r="J55" s="124"/>
      <c r="K55" s="67"/>
      <c r="L55" s="73"/>
      <c r="M55" s="112"/>
      <c r="N55" s="124"/>
      <c r="O55" s="124"/>
      <c r="P55" s="67"/>
    </row>
    <row r="56" spans="1:16" ht="15.75" customHeight="1">
      <c r="A56" s="67"/>
      <c r="B56" s="67"/>
      <c r="C56" s="124"/>
      <c r="D56" s="124"/>
      <c r="E56" s="124"/>
      <c r="F56" s="67"/>
      <c r="G56" s="124"/>
      <c r="H56" s="124"/>
      <c r="I56" s="124"/>
      <c r="J56" s="124"/>
      <c r="K56" s="67"/>
      <c r="L56" s="124"/>
      <c r="M56" s="124"/>
      <c r="N56" s="124"/>
      <c r="O56" s="124"/>
      <c r="P56" s="67"/>
    </row>
    <row r="57" spans="1:16" ht="15.75" customHeight="1">
      <c r="A57" s="67"/>
      <c r="B57" s="67"/>
      <c r="C57" s="124"/>
      <c r="D57" s="124"/>
      <c r="E57" s="124"/>
      <c r="F57" s="67"/>
      <c r="G57" s="124"/>
      <c r="H57" s="124"/>
      <c r="I57" s="124"/>
      <c r="J57" s="124"/>
      <c r="K57" s="67"/>
      <c r="L57" s="124"/>
      <c r="M57" s="124"/>
      <c r="N57" s="124"/>
      <c r="O57" s="124"/>
      <c r="P57" s="67"/>
    </row>
    <row r="58" spans="1:16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</row>
    <row r="59" spans="1:16" ht="15.75" customHeight="1">
      <c r="A59" s="67"/>
      <c r="B59" s="67"/>
      <c r="C59" s="109"/>
      <c r="D59" s="124"/>
      <c r="E59" s="110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67"/>
    </row>
    <row r="60" spans="1:16" ht="15.75" customHeight="1">
      <c r="A60" s="67"/>
      <c r="B60" s="67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67"/>
    </row>
    <row r="61" spans="1:16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</row>
    <row r="62" spans="1:16" ht="15.75" customHeight="1">
      <c r="A62" s="67"/>
      <c r="B62" s="67"/>
      <c r="C62" s="73"/>
      <c r="D62" s="124"/>
      <c r="E62" s="113"/>
      <c r="F62" s="124"/>
      <c r="G62" s="124"/>
      <c r="H62" s="124"/>
      <c r="I62" s="67"/>
      <c r="J62" s="73"/>
      <c r="K62" s="124"/>
      <c r="L62" s="115"/>
      <c r="M62" s="124"/>
      <c r="N62" s="124"/>
      <c r="O62" s="124"/>
      <c r="P62" s="67"/>
    </row>
    <row r="63" spans="1:16" ht="15.75" customHeight="1">
      <c r="A63" s="67"/>
      <c r="B63" s="67"/>
      <c r="C63" s="124"/>
      <c r="D63" s="124"/>
      <c r="E63" s="124"/>
      <c r="F63" s="124"/>
      <c r="G63" s="124"/>
      <c r="H63" s="124"/>
      <c r="I63" s="67"/>
      <c r="J63" s="124"/>
      <c r="K63" s="124"/>
      <c r="L63" s="124"/>
      <c r="M63" s="124"/>
      <c r="N63" s="124"/>
      <c r="O63" s="124"/>
      <c r="P63" s="67"/>
    </row>
    <row r="64" spans="1:16" ht="15.75" customHeight="1">
      <c r="A64" s="67"/>
      <c r="B64" s="67"/>
      <c r="C64" s="124"/>
      <c r="D64" s="124"/>
      <c r="E64" s="124"/>
      <c r="F64" s="124"/>
      <c r="G64" s="124"/>
      <c r="H64" s="124"/>
      <c r="I64" s="67"/>
      <c r="J64" s="124"/>
      <c r="K64" s="124"/>
      <c r="L64" s="124"/>
      <c r="M64" s="124"/>
      <c r="N64" s="124"/>
      <c r="O64" s="124"/>
      <c r="P64" s="67"/>
    </row>
    <row r="65" spans="1:16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</row>
    <row r="66" spans="1:1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</row>
    <row r="67" spans="1:16" ht="9.75" customHeight="1">
      <c r="A67" s="67"/>
      <c r="B67" s="76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</row>
    <row r="68" spans="1:16" ht="27" customHeight="1">
      <c r="A68" s="67"/>
      <c r="B68" s="76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</row>
    <row r="69" spans="1:16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</row>
    <row r="70" spans="1:16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</row>
    <row r="71" spans="1:16" ht="15.75" customHeight="1">
      <c r="A71" s="67"/>
      <c r="B71" s="67"/>
      <c r="C71" s="64"/>
      <c r="D71" s="67"/>
      <c r="E71" s="73"/>
      <c r="F71" s="124"/>
      <c r="G71" s="67"/>
      <c r="H71" s="73"/>
      <c r="I71" s="124"/>
      <c r="J71" s="67"/>
      <c r="K71" s="67"/>
      <c r="L71" s="67"/>
      <c r="M71" s="67"/>
      <c r="N71" s="67"/>
      <c r="O71" s="67"/>
      <c r="P71" s="67"/>
    </row>
    <row r="72" spans="1:16" ht="15.75" customHeight="1">
      <c r="A72" s="67"/>
      <c r="B72" s="67"/>
      <c r="C72" s="64"/>
      <c r="D72" s="67"/>
      <c r="E72" s="73"/>
      <c r="F72" s="124"/>
      <c r="G72" s="67"/>
      <c r="H72" s="73"/>
      <c r="I72" s="124"/>
      <c r="J72" s="67"/>
      <c r="K72" s="67"/>
      <c r="L72" s="67"/>
      <c r="M72" s="67"/>
      <c r="N72" s="67"/>
      <c r="O72" s="67"/>
      <c r="P72" s="67"/>
    </row>
    <row r="73" spans="1:16" ht="15.75" customHeight="1">
      <c r="A73" s="67"/>
      <c r="B73" s="67"/>
      <c r="C73" s="66"/>
      <c r="D73" s="67"/>
      <c r="E73" s="71"/>
      <c r="F73" s="124"/>
      <c r="G73" s="67"/>
      <c r="H73" s="71"/>
      <c r="I73" s="124"/>
      <c r="J73" s="67"/>
      <c r="K73" s="67"/>
      <c r="L73" s="67"/>
      <c r="M73" s="67"/>
      <c r="N73" s="67"/>
      <c r="O73" s="67"/>
      <c r="P73" s="67"/>
    </row>
    <row r="74" spans="1:16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spans="1:16" ht="15.75" customHeight="1">
      <c r="A75" s="67"/>
      <c r="B75" s="67"/>
      <c r="C75" s="73"/>
      <c r="D75" s="114"/>
      <c r="E75" s="124"/>
      <c r="F75" s="67"/>
      <c r="G75" s="73"/>
      <c r="H75" s="111"/>
      <c r="I75" s="124"/>
      <c r="J75" s="124"/>
      <c r="K75" s="67"/>
      <c r="L75" s="73"/>
      <c r="M75" s="112"/>
      <c r="N75" s="124"/>
      <c r="O75" s="124"/>
      <c r="P75" s="67"/>
    </row>
    <row r="76" spans="1:16" ht="15.75" customHeight="1">
      <c r="A76" s="67"/>
      <c r="B76" s="67"/>
      <c r="C76" s="124"/>
      <c r="D76" s="124"/>
      <c r="E76" s="124"/>
      <c r="F76" s="67"/>
      <c r="G76" s="124"/>
      <c r="H76" s="124"/>
      <c r="I76" s="124"/>
      <c r="J76" s="124"/>
      <c r="K76" s="67"/>
      <c r="L76" s="124"/>
      <c r="M76" s="124"/>
      <c r="N76" s="124"/>
      <c r="O76" s="124"/>
      <c r="P76" s="67"/>
    </row>
    <row r="77" spans="1:16" ht="15.75" customHeight="1">
      <c r="A77" s="67"/>
      <c r="B77" s="67"/>
      <c r="C77" s="124"/>
      <c r="D77" s="124"/>
      <c r="E77" s="124"/>
      <c r="F77" s="67"/>
      <c r="G77" s="124"/>
      <c r="H77" s="124"/>
      <c r="I77" s="124"/>
      <c r="J77" s="124"/>
      <c r="K77" s="67"/>
      <c r="L77" s="124"/>
      <c r="M77" s="124"/>
      <c r="N77" s="124"/>
      <c r="O77" s="124"/>
      <c r="P77" s="67"/>
    </row>
    <row r="78" spans="1:16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</row>
    <row r="79" spans="1:16" ht="15.75" customHeight="1">
      <c r="A79" s="67"/>
      <c r="B79" s="67"/>
      <c r="C79" s="109"/>
      <c r="D79" s="124"/>
      <c r="E79" s="110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67"/>
    </row>
    <row r="80" spans="1:16" ht="15.75" customHeight="1">
      <c r="A80" s="67"/>
      <c r="B80" s="67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67"/>
    </row>
    <row r="81" spans="1:16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</row>
    <row r="82" spans="1:16" ht="15.75" customHeight="1">
      <c r="A82" s="67"/>
      <c r="B82" s="67"/>
      <c r="C82" s="73"/>
      <c r="D82" s="124"/>
      <c r="E82" s="113"/>
      <c r="F82" s="124"/>
      <c r="G82" s="124"/>
      <c r="H82" s="124"/>
      <c r="I82" s="67"/>
      <c r="J82" s="73"/>
      <c r="K82" s="124"/>
      <c r="L82" s="134"/>
      <c r="M82" s="124"/>
      <c r="N82" s="124"/>
      <c r="O82" s="124"/>
      <c r="P82" s="67"/>
    </row>
    <row r="83" spans="1:16" ht="15.75" customHeight="1">
      <c r="A83" s="67"/>
      <c r="B83" s="67"/>
      <c r="C83" s="124"/>
      <c r="D83" s="124"/>
      <c r="E83" s="124"/>
      <c r="F83" s="124"/>
      <c r="G83" s="124"/>
      <c r="H83" s="124"/>
      <c r="I83" s="67"/>
      <c r="J83" s="124"/>
      <c r="K83" s="124"/>
      <c r="L83" s="124"/>
      <c r="M83" s="124"/>
      <c r="N83" s="124"/>
      <c r="O83" s="124"/>
      <c r="P83" s="67"/>
    </row>
    <row r="84" spans="1:16" ht="15.75" customHeight="1">
      <c r="A84" s="67"/>
      <c r="B84" s="67"/>
      <c r="C84" s="124"/>
      <c r="D84" s="124"/>
      <c r="E84" s="124"/>
      <c r="F84" s="124"/>
      <c r="G84" s="124"/>
      <c r="H84" s="124"/>
      <c r="I84" s="67"/>
      <c r="J84" s="124"/>
      <c r="K84" s="124"/>
      <c r="L84" s="124"/>
      <c r="M84" s="124"/>
      <c r="N84" s="124"/>
      <c r="O84" s="124"/>
      <c r="P84" s="67"/>
    </row>
    <row r="85" spans="1:16" ht="15.75" customHeight="1">
      <c r="A85" s="65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</row>
    <row r="86" spans="1:16" ht="15.75" customHeight="1">
      <c r="A86" s="67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</row>
    <row r="87" spans="1:16" ht="21">
      <c r="A87" s="67"/>
      <c r="B87" s="76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</row>
    <row r="88" spans="1:16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</row>
    <row r="89" spans="1:16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</row>
    <row r="90" spans="1:16" ht="15.75" customHeight="1">
      <c r="A90" s="67"/>
      <c r="B90" s="67"/>
      <c r="C90" s="64"/>
      <c r="D90" s="67"/>
      <c r="E90" s="73"/>
      <c r="F90" s="124"/>
      <c r="G90" s="67"/>
      <c r="H90" s="73"/>
      <c r="I90" s="124"/>
      <c r="J90" s="67"/>
      <c r="K90" s="67"/>
      <c r="L90" s="67"/>
      <c r="M90" s="67"/>
      <c r="N90" s="67"/>
      <c r="O90" s="67"/>
      <c r="P90" s="67"/>
    </row>
    <row r="91" spans="1:16" ht="15.75" customHeight="1">
      <c r="A91" s="67"/>
      <c r="B91" s="67"/>
      <c r="C91" s="66"/>
      <c r="D91" s="67"/>
      <c r="E91" s="71"/>
      <c r="F91" s="124"/>
      <c r="G91" s="67"/>
      <c r="H91" s="71"/>
      <c r="I91" s="124"/>
      <c r="J91" s="67"/>
      <c r="K91" s="67"/>
      <c r="L91" s="67"/>
      <c r="M91" s="67"/>
      <c r="N91" s="67"/>
      <c r="O91" s="67"/>
      <c r="P91" s="67"/>
    </row>
    <row r="92" spans="1:16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</row>
    <row r="93" spans="1:16" ht="15.75" customHeight="1">
      <c r="A93" s="67"/>
      <c r="B93" s="67"/>
      <c r="C93" s="73"/>
      <c r="D93" s="111"/>
      <c r="E93" s="124"/>
      <c r="F93" s="67"/>
      <c r="G93" s="73"/>
      <c r="H93" s="111"/>
      <c r="I93" s="124"/>
      <c r="J93" s="124"/>
      <c r="K93" s="67"/>
      <c r="L93" s="73"/>
      <c r="M93" s="108"/>
      <c r="N93" s="124"/>
      <c r="O93" s="124"/>
      <c r="P93" s="67"/>
    </row>
    <row r="94" spans="1:16" ht="15.75" customHeight="1">
      <c r="A94" s="67"/>
      <c r="B94" s="67"/>
      <c r="C94" s="124"/>
      <c r="D94" s="124"/>
      <c r="E94" s="124"/>
      <c r="F94" s="67"/>
      <c r="G94" s="124"/>
      <c r="H94" s="124"/>
      <c r="I94" s="124"/>
      <c r="J94" s="124"/>
      <c r="K94" s="67"/>
      <c r="L94" s="124"/>
      <c r="M94" s="124"/>
      <c r="N94" s="124"/>
      <c r="O94" s="124"/>
      <c r="P94" s="67"/>
    </row>
    <row r="95" spans="1:16" ht="15.75" customHeight="1">
      <c r="A95" s="67"/>
      <c r="B95" s="67"/>
      <c r="C95" s="124"/>
      <c r="D95" s="124"/>
      <c r="E95" s="124"/>
      <c r="F95" s="67"/>
      <c r="G95" s="124"/>
      <c r="H95" s="124"/>
      <c r="I95" s="124"/>
      <c r="J95" s="124"/>
      <c r="K95" s="67"/>
      <c r="L95" s="124"/>
      <c r="M95" s="124"/>
      <c r="N95" s="124"/>
      <c r="O95" s="124"/>
      <c r="P95" s="67"/>
    </row>
    <row r="96" spans="1:1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</row>
    <row r="97" spans="1:16" ht="15.75" customHeight="1">
      <c r="A97" s="67"/>
      <c r="B97" s="67"/>
      <c r="C97" s="109"/>
      <c r="D97" s="124"/>
      <c r="E97" s="110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67"/>
    </row>
    <row r="98" spans="1:16" ht="15.75" customHeight="1">
      <c r="A98" s="67"/>
      <c r="B98" s="67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67"/>
    </row>
    <row r="99" spans="1:16" ht="15.75" customHeight="1">
      <c r="A99" s="67"/>
      <c r="B99" s="67"/>
      <c r="C99" s="67"/>
      <c r="D99" s="67"/>
      <c r="E99" s="42"/>
      <c r="F99" s="42"/>
      <c r="G99" s="42"/>
      <c r="H99" s="42"/>
      <c r="I99" s="67"/>
      <c r="J99" s="67"/>
      <c r="K99" s="67"/>
      <c r="L99" s="67"/>
      <c r="M99" s="67"/>
      <c r="N99" s="67"/>
      <c r="O99" s="67"/>
      <c r="P99" s="67"/>
    </row>
    <row r="100" spans="1:16" ht="15.75" customHeight="1">
      <c r="A100" s="67"/>
      <c r="B100" s="67"/>
      <c r="C100" s="73"/>
      <c r="D100" s="124"/>
      <c r="E100" s="107"/>
      <c r="F100" s="124"/>
      <c r="G100" s="124"/>
      <c r="H100" s="124"/>
      <c r="I100" s="67"/>
      <c r="J100" s="73"/>
      <c r="K100" s="124"/>
      <c r="L100" s="134"/>
      <c r="M100" s="124"/>
      <c r="N100" s="124"/>
      <c r="O100" s="124"/>
      <c r="P100" s="67"/>
    </row>
    <row r="101" spans="1:16" ht="15.75" customHeight="1">
      <c r="A101" s="67"/>
      <c r="B101" s="67"/>
      <c r="C101" s="124"/>
      <c r="D101" s="124"/>
      <c r="E101" s="124"/>
      <c r="F101" s="124"/>
      <c r="G101" s="124"/>
      <c r="H101" s="124"/>
      <c r="I101" s="67"/>
      <c r="J101" s="124"/>
      <c r="K101" s="124"/>
      <c r="L101" s="124"/>
      <c r="M101" s="124"/>
      <c r="N101" s="124"/>
      <c r="O101" s="124"/>
      <c r="P101" s="67"/>
    </row>
    <row r="102" spans="1:16" ht="15.75" customHeight="1">
      <c r="A102" s="67"/>
      <c r="B102" s="67"/>
      <c r="C102" s="124"/>
      <c r="D102" s="124"/>
      <c r="E102" s="124"/>
      <c r="F102" s="124"/>
      <c r="G102" s="124"/>
      <c r="H102" s="124"/>
      <c r="I102" s="67"/>
      <c r="J102" s="124"/>
      <c r="K102" s="124"/>
      <c r="L102" s="124"/>
      <c r="M102" s="124"/>
      <c r="N102" s="124"/>
      <c r="O102" s="124"/>
      <c r="P102" s="67"/>
    </row>
    <row r="103" spans="1:16" ht="15.75" customHeight="1">
      <c r="A103" s="65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</row>
    <row r="104" spans="1:16" ht="15.75" customHeight="1">
      <c r="A104" s="65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</row>
    <row r="105" spans="1:16" ht="15.75" customHeight="1">
      <c r="A105" s="65"/>
      <c r="B105" s="76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</row>
    <row r="106" spans="1:1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</row>
    <row r="107" spans="1:16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</row>
    <row r="108" spans="1:16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</row>
    <row r="109" spans="1:16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</row>
    <row r="110" spans="1:16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</row>
    <row r="111" spans="1:16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</row>
    <row r="112" spans="1:16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HU'!$B$9:$B$25</xm:f>
          </x14:formula1>
          <xm:sqref>C50:C51 C11</xm:sqref>
        </x14:dataValidation>
        <x14:dataValidation type="list" allowBlank="1" showErrorMessage="1" xr:uid="{980053CD-1E8D-4C9B-BD94-3FF0401EDF3A}">
          <x14:formula1>
            <xm:f>'Formato descripción HU'!$B$6:$B$25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2019-10-21T15:37:14Z</dcterms:created>
  <dcterms:modified xsi:type="dcterms:W3CDTF">2026-07-20T03:44:48Z</dcterms:modified>
  <cp:category/>
  <cp:contentStatus/>
</cp:coreProperties>
</file>
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13_ncr:1_{9CB96EFF-7664-408E-A2A4-A6964B386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  <sheet name="sprint2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D9" i="3" s="1"/>
  <c r="E9" i="3" s="1"/>
  <c r="F9" i="3" s="1"/>
  <c r="G9" i="3" s="1"/>
  <c r="H9" i="3" s="1"/>
  <c r="I9" i="3" s="1"/>
  <c r="J9" i="3" s="1"/>
  <c r="C10" i="3"/>
  <c r="D10" i="3" s="1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<sst xmlns="http://schemas.openxmlformats.org/spreadsheetml/2006/main" count="181" uniqueCount="94">
  <si>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</si>
  <si>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</si>
  <si>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</si>
  <si>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</si>
  <si>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</si>
  <si>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</si>
  <si>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</si>
  <si>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</si>
  <si>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</si>
  <si>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</si>
  <si>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</si>
  <si>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Iniciar sesión mediante un usuario y contraseña</t>
  </si>
  <si>
    <t>Acceder al sistema de forma segura</t>
  </si>
  <si>
    <t xml:space="preserve">#intentos de ingreso </t>
  </si>
  <si>
    <t>Alta</t>
  </si>
  <si>
    <t>No iniciado</t>
  </si>
  <si>
    <t>REQ002</t>
  </si>
  <si>
    <t>Visualización centralizada del inventario disponible.</t>
  </si>
  <si>
    <t xml:space="preserve">una interfaz grafica que muestre todos los productos del negocio </t>
  </si>
  <si>
    <t>Monitorear en tiempo real el stock existente en la bodega y optimizar el proceso de venta al público</t>
  </si>
  <si>
    <t>#intentos</t>
  </si>
  <si>
    <t>REQ003</t>
  </si>
  <si>
    <t>Busqueda de Productos por el nombre</t>
  </si>
  <si>
    <t>Cliente</t>
  </si>
  <si>
    <t>Un buscador que me permita escribir el nombre del repuesto o producto</t>
  </si>
  <si>
    <t>Buscar rapidamente un producto o accesorio sin la necesidad de buscar en todo el catalogo</t>
  </si>
  <si>
    <t>REQ004</t>
  </si>
  <si>
    <t>Información extendida de los productos</t>
  </si>
  <si>
    <t>Un botón de "ver mas" que abra una ficha completa con la descripcion detallada del producto</t>
  </si>
  <si>
    <t>Conocer detalles tecnicos como compatibilidad de años, marca o material antes de venderlo.</t>
  </si>
  <si>
    <t>Necesito</t>
  </si>
  <si>
    <t>así podre...</t>
  </si>
  <si>
    <t>Prioridad</t>
  </si>
  <si>
    <t>Status</t>
  </si>
  <si>
    <t xml:space="preserve">Ingreso al aplicativo </t>
  </si>
  <si>
    <t>Iniciar sesión con usuario y contraseña</t>
  </si>
  <si>
    <t>Ingresar a gestionar y usar las opciones del aplicativo</t>
  </si>
  <si>
    <t>Terminada</t>
  </si>
  <si>
    <t>Tareas</t>
  </si>
  <si>
    <t>Asignado</t>
  </si>
  <si>
    <t>Estimado</t>
  </si>
  <si>
    <t>REQ001-1</t>
  </si>
  <si>
    <t>Crear interfaz de uso lenguaje JAVA para inicio de sesión y menú principal</t>
  </si>
  <si>
    <t>Jonathan Rodrigez</t>
  </si>
  <si>
    <t>REQ001-2</t>
  </si>
  <si>
    <t>Creación de la base de datos usuario y contraseña para la administradora</t>
  </si>
  <si>
    <t>REQ001-3</t>
  </si>
  <si>
    <t>Progamar validacion de usuario y contraseña de acceso</t>
  </si>
  <si>
    <t>REQ001-4</t>
  </si>
  <si>
    <t>Implementar bloqueo de seguridad tras varios intentos fallidos</t>
  </si>
  <si>
    <t>REQ001-5</t>
  </si>
  <si>
    <t>Realizar preubas de acceso y seguridad</t>
  </si>
  <si>
    <t>REQ002-1</t>
  </si>
  <si>
    <t>Diseñar e implementar la interfaz gráfica (GUI) en JAVA para la tabla de visualización del inventario.</t>
  </si>
  <si>
    <t>REQ002-2</t>
  </si>
  <si>
    <t>Crear la base de datos y la tabla de "Productos" con los campos ID, nombre, stock, precio, fecha de registro, modelo y provedor.</t>
  </si>
  <si>
    <t>REQ002-3</t>
  </si>
  <si>
    <t>Desarrollar la conexión con SQL en JAVA para extraer los datos de los productos en tiempo real.</t>
  </si>
  <si>
    <t>REQ002-4</t>
  </si>
  <si>
    <t>Programar la lógica de actualización automática de la tabla gráfica al realizarse una venta o ingreso de mercancía.</t>
  </si>
  <si>
    <t>REQ002-5</t>
  </si>
  <si>
    <t>Realizar pruebas de carga de datos, verificación de sincronización con la bodega y validación de la interfaz visual.</t>
  </si>
  <si>
    <t>hola</t>
  </si>
  <si>
    <t>Filtrar  un producto mediante su nombre,categoria o provedor</t>
  </si>
  <si>
    <t>Buscar rapidamente un producto o accesorio sin la necesidad de recorrer todo el catalogo</t>
  </si>
  <si>
    <t>REQ003-1</t>
  </si>
  <si>
    <t>Diseñar la interfaz de la barra de búsqueda en el catálogo</t>
  </si>
  <si>
    <t>Vicente Sanchez</t>
  </si>
  <si>
    <t>REQ003-2</t>
  </si>
  <si>
    <t>Implementar la consulta SQL y conectarla con la interfaz para filtrar productos por el atributo requerido</t>
  </si>
  <si>
    <t>REQ003-3</t>
  </si>
  <si>
    <t>Mostrar los resultados filtrados en tiempo real en pantalla</t>
  </si>
  <si>
    <t>REQ003-4</t>
  </si>
  <si>
    <t>Realizar pruebas de búsqueda con productos existentes y validar resultados</t>
  </si>
  <si>
    <t>Informacion de productos</t>
  </si>
  <si>
    <t>REQ004-1</t>
  </si>
  <si>
    <t>Agregar botón "Ver más" en cada producto del catálogo.</t>
  </si>
  <si>
    <t>Joel Tapia</t>
  </si>
  <si>
    <t>REQ004-2</t>
  </si>
  <si>
    <t>Crear ventana con detalles del producto.</t>
  </si>
  <si>
    <t>REQ004-3</t>
  </si>
  <si>
    <t>Vincular ficha a los datos del producto desde la base de datos</t>
  </si>
  <si>
    <t>REQ004-4</t>
  </si>
  <si>
    <t>Probar que la información mostrada coincide con el producto seleccionado.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</si>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</sst>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8" tint="-0.24997711111789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0" fontId="1" fillId="0" borderId="0" xfId="0" applyFont="1"/>
    <xf numFmtId="0" fontId="2" fillId="4" borderId="2" xfId="0" applyFont="1" applyFill="1" applyBorder="1"/>
    <xf numFmtId="0" fontId="2" fillId="0" borderId="2" xfId="0" applyFont="1" applyBorder="1"/>
    <xf numFmtId="0" fontId="3" fillId="2" borderId="2" xfId="0" applyFont="1" applyFill="1" applyBorder="1"/>
    <xf numFmtId="0" fontId="1" fillId="0" borderId="3" xfId="0" applyFont="1" applyBorder="1" applyAlignment="1">
      <alignment horizontal="center"/>
    </xf>
    <xf numFmtId="0" fontId="4" fillId="3" borderId="1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6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0" fillId="7" borderId="0" xfId="0" applyFill="1"/>
    <xf numFmtId="0" fontId="9" fillId="0" borderId="0" xfId="0" applyFont="1"/>
    <xf numFmtId="0" fontId="4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0" fillId="0" borderId="0" xfId="0" applyFont="1"/>
    <xf numFmtId="0" fontId="6" fillId="0" borderId="3" xfId="0" applyFont="1" applyBorder="1" applyAlignment="1">
      <alignment horizontal="left" wrapText="1"/>
    </xf>
    <xf numFmtId="0" fontId="11" fillId="0" borderId="0" xfId="0" applyFont="1"/>
    <xf numFmtId="0" fontId="11" fillId="0" borderId="1" xfId="0" applyFont="1" applyBorder="1"/>
    <xf numFmtId="0" fontId="12" fillId="7" borderId="0" xfId="0" applyFont="1" applyFill="1" applyAlignment="1">
      <alignment wrapText="1"/>
    </xf>
    <xf numFmtId="0" fontId="13" fillId="0" borderId="0" xfId="0" applyFont="1"/>
    <xf numFmtId="0" fontId="12" fillId="7" borderId="0" xfId="0" applyFont="1" applyFill="1"/>
    <xf numFmtId="0" fontId="1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9.4285714285714288</c:v>
                </c:pt>
                <c:pt idx="3">
                  <c:v>7.8571428571428577</c:v>
                </c:pt>
                <c:pt idx="4">
                  <c:v>6.2857142857142865</c:v>
                </c:pt>
                <c:pt idx="5">
                  <c:v>4.7142857142857153</c:v>
                </c:pt>
                <c:pt idx="6">
                  <c:v>3.1428571428571441</c:v>
                </c:pt>
                <c:pt idx="7">
                  <c:v>1.5714285714285727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topLeftCell="B1" zoomScale="77" zoomScaleNormal="145" workbookViewId="0">
      <selection activeCell="D12" sqref="D12"/>
    </sheetView>
  </sheetViews>
  <sheetFormatPr baseColWidth="10" defaultColWidth="12.5703125" defaultRowHeight="15" customHeight="1" x14ac:dyDescent="0.2"/>
  <cols>
    <col min="1" max="1" width="12.5703125" customWidth="1"/>
    <col min="2" max="2" width="44.7109375" bestFit="1" customWidth="1"/>
    <col min="3" max="3" width="16.85546875" customWidth="1"/>
    <col min="4" max="4" width="44.140625" customWidth="1"/>
    <col min="5" max="5" width="46" bestFit="1" customWidth="1"/>
    <col min="6" max="6" width="18.42578125" bestFit="1" customWidth="1"/>
  </cols>
  <sheetData>
    <row r="1" spans="1:8" ht="15.7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12.75" x14ac:dyDescent="0.2">
      <c r="A2" s="16" t="s">
        <v>8</v>
      </c>
      <c r="B2" s="16" t="s">
        <v>9</v>
      </c>
      <c r="C2" s="16" t="s">
        <v>10</v>
      </c>
      <c r="D2" s="16" t="s">
        <v>11</v>
      </c>
      <c r="E2" s="17" t="s">
        <v>12</v>
      </c>
      <c r="F2" s="16" t="s">
        <v>13</v>
      </c>
      <c r="G2" s="16" t="s">
        <v>14</v>
      </c>
      <c r="H2" s="16" t="s">
        <v>15</v>
      </c>
    </row>
    <row r="3" spans="1:8" ht="25.5" x14ac:dyDescent="0.2">
      <c r="A3" s="16" t="s">
        <v>16</v>
      </c>
      <c r="B3" s="17" t="s">
        <v>17</v>
      </c>
      <c r="C3" s="16" t="s">
        <v>10</v>
      </c>
      <c r="D3" s="17" t="s">
        <v>18</v>
      </c>
      <c r="E3" s="17" t="s">
        <v>19</v>
      </c>
      <c r="F3" s="16" t="s">
        <v>20</v>
      </c>
      <c r="G3" s="16" t="s">
        <v>14</v>
      </c>
      <c r="H3" s="16" t="s">
        <v>15</v>
      </c>
    </row>
    <row r="4" spans="1:8" ht="25.5" x14ac:dyDescent="0.2">
      <c r="A4" s="16" t="s">
        <v>21</v>
      </c>
      <c r="B4" s="16" t="s">
        <v>22</v>
      </c>
      <c r="C4" s="16" t="s">
        <v>23</v>
      </c>
      <c r="D4" s="17" t="s">
        <v>24</v>
      </c>
      <c r="E4" s="17" t="s">
        <v>25</v>
      </c>
      <c r="F4" s="16" t="s">
        <v>20</v>
      </c>
      <c r="G4" s="16" t="s">
        <v>14</v>
      </c>
      <c r="H4" s="16" t="s">
        <v>15</v>
      </c>
    </row>
    <row r="5" spans="1:8" ht="27" customHeight="1" x14ac:dyDescent="0.2">
      <c r="A5" s="16" t="s">
        <v>26</v>
      </c>
      <c r="B5" s="16" t="s">
        <v>27</v>
      </c>
      <c r="C5" s="16" t="s">
        <v>23</v>
      </c>
      <c r="D5" s="24" t="s">
        <v>28</v>
      </c>
      <c r="E5" s="17" t="s">
        <v>29</v>
      </c>
      <c r="F5" s="16" t="s">
        <v>13</v>
      </c>
      <c r="G5" s="16" t="s">
        <v>14</v>
      </c>
      <c r="H5" s="16" t="s">
        <v>15</v>
      </c>
    </row>
    <row r="6" spans="1:8" ht="15.75" customHeight="1" x14ac:dyDescent="0.2">
      <c r="A6" s="16"/>
      <c r="B6" s="16"/>
      <c r="C6" s="16"/>
      <c r="D6" s="16"/>
      <c r="E6" s="16"/>
      <c r="F6" s="16"/>
      <c r="G6" s="16"/>
      <c r="H6" s="16"/>
    </row>
    <row r="7" spans="1:8" ht="15.75" customHeight="1" x14ac:dyDescent="0.2">
      <c r="A7" s="16"/>
      <c r="B7" s="16"/>
      <c r="C7" s="16"/>
      <c r="D7" s="16"/>
      <c r="E7" s="16"/>
      <c r="F7" s="16"/>
      <c r="G7" s="16"/>
      <c r="H7" s="16"/>
    </row>
    <row r="8" spans="1:8" ht="15.75" customHeight="1" x14ac:dyDescent="0.2">
      <c r="A8" s="16"/>
      <c r="B8" s="16"/>
      <c r="C8" s="16"/>
      <c r="D8" s="16"/>
      <c r="E8" s="16"/>
      <c r="F8" s="16"/>
      <c r="G8" s="16"/>
      <c r="H8" s="16"/>
    </row>
    <row r="9" spans="1:8" ht="15.75" customHeight="1" x14ac:dyDescent="0.2">
      <c r="A9" s="16"/>
      <c r="B9" s="16"/>
      <c r="C9" s="16"/>
      <c r="D9" s="16"/>
      <c r="E9" s="16"/>
      <c r="F9" s="16"/>
      <c r="G9" s="16"/>
      <c r="H9" s="16"/>
    </row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honeticPr fontId="8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61"/>
  <sheetViews>
    <sheetView topLeftCell="A27" zoomScale="112" zoomScaleNormal="100" workbookViewId="0">
      <selection activeCell="C16" sqref="C16"/>
    </sheetView>
  </sheetViews>
  <sheetFormatPr baseColWidth="10" defaultColWidth="12.5703125" defaultRowHeight="15" customHeight="1" x14ac:dyDescent="0.2"/>
  <cols>
    <col min="1" max="2" width="12.5703125" customWidth="1"/>
    <col min="3" max="3" width="26.7109375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30</v>
      </c>
      <c r="F3" s="1" t="s">
        <v>31</v>
      </c>
      <c r="G3" s="1" t="s">
        <v>5</v>
      </c>
      <c r="H3" s="1" t="s">
        <v>32</v>
      </c>
      <c r="I3" s="1" t="s">
        <v>33</v>
      </c>
    </row>
    <row r="4" spans="2:9" ht="15.75" customHeight="1" x14ac:dyDescent="0.2">
      <c r="B4" s="3" t="s">
        <v>8</v>
      </c>
      <c r="C4" s="3" t="s">
        <v>34</v>
      </c>
      <c r="D4" s="3" t="s">
        <v>10</v>
      </c>
      <c r="E4" s="9" t="s">
        <v>35</v>
      </c>
      <c r="F4" s="3" t="s">
        <v>36</v>
      </c>
      <c r="G4" s="3" t="s">
        <v>20</v>
      </c>
      <c r="H4" s="3" t="s">
        <v>14</v>
      </c>
      <c r="I4" s="3" t="s">
        <v>37</v>
      </c>
    </row>
    <row r="5" spans="2:9" ht="15.75" customHeight="1" x14ac:dyDescent="0.2">
      <c r="B5" s="2"/>
      <c r="C5" s="4" t="s">
        <v>38</v>
      </c>
      <c r="D5" s="2"/>
      <c r="E5" s="2"/>
      <c r="F5" s="2"/>
      <c r="G5" s="4" t="s">
        <v>39</v>
      </c>
      <c r="H5" s="2"/>
      <c r="I5" s="4" t="s">
        <v>40</v>
      </c>
    </row>
    <row r="6" spans="2:9" ht="15.75" customHeight="1" x14ac:dyDescent="0.2">
      <c r="B6" s="11" t="s">
        <v>41</v>
      </c>
      <c r="C6" s="32" t="s">
        <v>42</v>
      </c>
      <c r="D6" s="33"/>
      <c r="E6" s="33"/>
      <c r="F6" s="33"/>
      <c r="G6" s="2" t="s">
        <v>43</v>
      </c>
      <c r="H6" s="2"/>
      <c r="I6" s="10">
        <v>4</v>
      </c>
    </row>
    <row r="7" spans="2:9" ht="15.75" customHeight="1" x14ac:dyDescent="0.2">
      <c r="B7" s="11" t="s">
        <v>44</v>
      </c>
      <c r="C7" s="32" t="s">
        <v>45</v>
      </c>
      <c r="D7" s="33"/>
      <c r="E7" s="33"/>
      <c r="F7" s="33"/>
      <c r="G7" s="2" t="s">
        <v>43</v>
      </c>
      <c r="H7" s="2"/>
      <c r="I7" s="10">
        <v>1</v>
      </c>
    </row>
    <row r="8" spans="2:9" ht="15.75" customHeight="1" x14ac:dyDescent="0.2">
      <c r="B8" s="11" t="s">
        <v>46</v>
      </c>
      <c r="C8" s="32" t="s">
        <v>47</v>
      </c>
      <c r="D8" s="33"/>
      <c r="E8" s="33"/>
      <c r="F8" s="33"/>
      <c r="G8" s="2" t="s">
        <v>43</v>
      </c>
      <c r="H8" s="2"/>
      <c r="I8" s="11">
        <v>2</v>
      </c>
    </row>
    <row r="9" spans="2:9" ht="15.75" customHeight="1" x14ac:dyDescent="0.2">
      <c r="B9" s="13" t="s">
        <v>48</v>
      </c>
      <c r="C9" s="31" t="s">
        <v>49</v>
      </c>
      <c r="D9" s="31"/>
      <c r="E9" s="31"/>
      <c r="F9" s="31"/>
      <c r="G9" s="2" t="s">
        <v>43</v>
      </c>
      <c r="H9" s="1"/>
      <c r="I9" s="10">
        <v>4</v>
      </c>
    </row>
    <row r="10" spans="2:9" ht="15.75" customHeight="1" x14ac:dyDescent="0.2">
      <c r="B10" s="23" t="s">
        <v>50</v>
      </c>
      <c r="C10" s="31" t="s">
        <v>51</v>
      </c>
      <c r="D10" s="31"/>
      <c r="E10" s="31"/>
      <c r="F10" s="31"/>
      <c r="G10" s="2" t="s">
        <v>43</v>
      </c>
      <c r="H10" s="12"/>
      <c r="I10" s="12">
        <v>1</v>
      </c>
    </row>
    <row r="11" spans="2:9" ht="15.75" customHeight="1" x14ac:dyDescent="0.2">
      <c r="B11" s="2"/>
      <c r="C11" s="4"/>
      <c r="D11" s="2"/>
      <c r="E11" s="2"/>
      <c r="F11" s="2"/>
      <c r="G11" s="4"/>
      <c r="H11" s="2"/>
      <c r="I11" s="4"/>
    </row>
    <row r="12" spans="2:9" s="25" customFormat="1" ht="15.75" customHeight="1" x14ac:dyDescent="0.2">
      <c r="B12" s="25" t="s">
        <v>0</v>
      </c>
      <c r="C12" s="25" t="s">
        <v>1</v>
      </c>
      <c r="D12" s="25" t="s">
        <v>2</v>
      </c>
      <c r="E12" s="25" t="s">
        <v>30</v>
      </c>
      <c r="F12" s="25" t="s">
        <v>31</v>
      </c>
      <c r="G12" s="25" t="s">
        <v>5</v>
      </c>
      <c r="H12" s="25" t="s">
        <v>32</v>
      </c>
      <c r="I12" s="25" t="s">
        <v>33</v>
      </c>
    </row>
    <row r="13" spans="2:9" ht="25.5" x14ac:dyDescent="0.2">
      <c r="B13" s="18" t="s">
        <v>16</v>
      </c>
      <c r="C13" s="27" t="s">
        <v>17</v>
      </c>
      <c r="D13" s="29" t="s">
        <v>10</v>
      </c>
      <c r="E13" s="22" t="s">
        <v>18</v>
      </c>
      <c r="F13" s="27" t="s">
        <v>19</v>
      </c>
      <c r="G13" s="18" t="s">
        <v>20</v>
      </c>
      <c r="H13" s="18" t="s">
        <v>14</v>
      </c>
      <c r="I13" s="18" t="s">
        <v>37</v>
      </c>
    </row>
    <row r="14" spans="2:9" s="25" customFormat="1" ht="15.75" customHeight="1" x14ac:dyDescent="0.2">
      <c r="C14" s="25" t="s">
        <v>38</v>
      </c>
      <c r="G14" s="25" t="s">
        <v>39</v>
      </c>
      <c r="I14" s="25" t="s">
        <v>40</v>
      </c>
    </row>
    <row r="15" spans="2:9" ht="15.75" customHeight="1" x14ac:dyDescent="0.2">
      <c r="B15" s="28" t="s">
        <v>52</v>
      </c>
      <c r="C15" s="30" t="s">
        <v>53</v>
      </c>
      <c r="I15" s="19">
        <v>4</v>
      </c>
    </row>
    <row r="16" spans="2:9" ht="15.75" customHeight="1" x14ac:dyDescent="0.2">
      <c r="B16" s="28" t="s">
        <v>54</v>
      </c>
      <c r="C16" s="30" t="s">
        <v>55</v>
      </c>
      <c r="I16" s="19">
        <v>4</v>
      </c>
    </row>
    <row r="17" spans="1:10" ht="15.75" customHeight="1" x14ac:dyDescent="0.2">
      <c r="B17" s="28" t="s">
        <v>56</v>
      </c>
      <c r="C17" s="30" t="s">
        <v>57</v>
      </c>
      <c r="I17" s="19">
        <v>4</v>
      </c>
    </row>
    <row r="18" spans="1:10" ht="15.75" customHeight="1" x14ac:dyDescent="0.2">
      <c r="B18" s="28" t="s">
        <v>58</v>
      </c>
      <c r="C18" s="30" t="s">
        <v>59</v>
      </c>
      <c r="I18" s="19">
        <v>4</v>
      </c>
    </row>
    <row r="19" spans="1:10" ht="15.75" customHeight="1" x14ac:dyDescent="0.2">
      <c r="B19" s="28" t="s">
        <v>60</v>
      </c>
      <c r="C19" s="30" t="s">
        <v>61</v>
      </c>
      <c r="I19" s="28">
        <v>2</v>
      </c>
    </row>
    <row r="20" spans="1:10" ht="15.75" customHeight="1" x14ac:dyDescent="0.2">
      <c r="E20" t="s">
        <v>62</v>
      </c>
    </row>
    <row r="21" spans="1:10" s="25" customFormat="1" ht="15.75" customHeight="1" x14ac:dyDescent="0.2">
      <c r="B21" s="26" t="s">
        <v>0</v>
      </c>
      <c r="C21" s="26" t="s">
        <v>1</v>
      </c>
      <c r="D21" s="26" t="s">
        <v>2</v>
      </c>
      <c r="E21" s="26" t="s">
        <v>30</v>
      </c>
      <c r="F21" s="26" t="s">
        <v>31</v>
      </c>
      <c r="G21" s="26" t="s">
        <v>5</v>
      </c>
      <c r="H21" s="26" t="s">
        <v>32</v>
      </c>
      <c r="I21" s="26" t="s">
        <v>33</v>
      </c>
    </row>
    <row r="22" spans="1:10" ht="25.5" x14ac:dyDescent="0.2">
      <c r="A22" s="21"/>
      <c r="B22" s="20" t="s">
        <v>21</v>
      </c>
      <c r="C22" s="20" t="s">
        <v>22</v>
      </c>
      <c r="D22" s="20" t="s">
        <v>23</v>
      </c>
      <c r="E22" s="20" t="s">
        <v>63</v>
      </c>
      <c r="F22" s="20" t="s">
        <v>64</v>
      </c>
      <c r="G22" s="20" t="s">
        <v>13</v>
      </c>
      <c r="H22" s="20" t="s">
        <v>14</v>
      </c>
      <c r="I22" s="20" t="s">
        <v>15</v>
      </c>
      <c r="J22" s="21"/>
    </row>
    <row r="23" spans="1:10" s="25" customFormat="1" ht="15.75" customHeight="1" x14ac:dyDescent="0.2">
      <c r="B23" s="26"/>
      <c r="C23" s="26" t="s">
        <v>38</v>
      </c>
      <c r="D23" s="26"/>
      <c r="E23" s="26"/>
      <c r="F23" s="26"/>
      <c r="G23" s="26" t="s">
        <v>39</v>
      </c>
      <c r="H23" s="26"/>
      <c r="I23" s="26" t="s">
        <v>40</v>
      </c>
    </row>
    <row r="24" spans="1:10" ht="15.75" customHeight="1" x14ac:dyDescent="0.2">
      <c r="B24" s="19" t="s">
        <v>65</v>
      </c>
      <c r="C24" t="s">
        <v>66</v>
      </c>
      <c r="G24" t="s">
        <v>67</v>
      </c>
      <c r="I24" s="19">
        <v>4</v>
      </c>
    </row>
    <row r="25" spans="1:10" ht="15.75" customHeight="1" x14ac:dyDescent="0.2">
      <c r="B25" s="19" t="s">
        <v>68</v>
      </c>
      <c r="C25" s="30" t="s">
        <v>69</v>
      </c>
      <c r="G25" t="s">
        <v>67</v>
      </c>
      <c r="I25" s="19">
        <v>4</v>
      </c>
    </row>
    <row r="26" spans="1:10" ht="15.75" customHeight="1" x14ac:dyDescent="0.2">
      <c r="B26" s="19" t="s">
        <v>70</v>
      </c>
      <c r="C26" t="s">
        <v>71</v>
      </c>
      <c r="G26" t="s">
        <v>67</v>
      </c>
      <c r="I26" s="19">
        <v>4</v>
      </c>
    </row>
    <row r="27" spans="1:10" ht="15.75" customHeight="1" x14ac:dyDescent="0.2">
      <c r="B27" s="19" t="s">
        <v>72</v>
      </c>
      <c r="C27" t="s">
        <v>73</v>
      </c>
      <c r="G27" t="s">
        <v>67</v>
      </c>
      <c r="I27" s="19">
        <v>4</v>
      </c>
    </row>
    <row r="28" spans="1:10" ht="15.75" customHeight="1" x14ac:dyDescent="0.2"/>
    <row r="29" spans="1:10" ht="15.75" customHeight="1" x14ac:dyDescent="0.2"/>
    <row r="30" spans="1:10" s="25" customFormat="1" ht="15.75" customHeight="1" x14ac:dyDescent="0.2">
      <c r="B30" s="25" t="s">
        <v>0</v>
      </c>
      <c r="C30" s="25" t="s">
        <v>1</v>
      </c>
      <c r="D30" s="25" t="s">
        <v>2</v>
      </c>
      <c r="E30" s="25" t="s">
        <v>30</v>
      </c>
      <c r="F30" s="25" t="s">
        <v>31</v>
      </c>
      <c r="G30" s="25" t="s">
        <v>5</v>
      </c>
      <c r="H30" s="25" t="s">
        <v>32</v>
      </c>
      <c r="I30" s="25" t="s">
        <v>33</v>
      </c>
    </row>
    <row r="31" spans="1:10" ht="48.75" customHeight="1" x14ac:dyDescent="0.2">
      <c r="B31" t="s">
        <v>26</v>
      </c>
      <c r="C31" s="22" t="s">
        <v>74</v>
      </c>
      <c r="D31" s="18" t="s">
        <v>10</v>
      </c>
      <c r="E31" s="22" t="s">
        <v>28</v>
      </c>
      <c r="F31" s="22" t="s">
        <v>29</v>
      </c>
      <c r="G31" s="18" t="s">
        <v>20</v>
      </c>
      <c r="H31" s="18" t="s">
        <v>14</v>
      </c>
      <c r="I31" s="20" t="s">
        <v>15</v>
      </c>
    </row>
    <row r="32" spans="1:10" s="25" customFormat="1" ht="15.75" customHeight="1" x14ac:dyDescent="0.2">
      <c r="C32" s="25" t="s">
        <v>38</v>
      </c>
      <c r="G32" s="25" t="s">
        <v>39</v>
      </c>
      <c r="I32" s="25" t="s">
        <v>40</v>
      </c>
    </row>
    <row r="33" spans="2:9" ht="15.75" customHeight="1" x14ac:dyDescent="0.2">
      <c r="B33" s="19" t="s">
        <v>75</v>
      </c>
      <c r="C33" t="s">
        <v>76</v>
      </c>
      <c r="G33" t="s">
        <v>77</v>
      </c>
      <c r="I33" s="19">
        <v>5</v>
      </c>
    </row>
    <row r="34" spans="2:9" ht="12.75" x14ac:dyDescent="0.2">
      <c r="B34" s="19" t="s">
        <v>78</v>
      </c>
      <c r="C34" s="30" t="s">
        <v>79</v>
      </c>
      <c r="G34" t="s">
        <v>77</v>
      </c>
      <c r="I34" s="19">
        <v>3</v>
      </c>
    </row>
    <row r="35" spans="2:9" ht="12.75" x14ac:dyDescent="0.2">
      <c r="B35" s="19" t="s">
        <v>80</v>
      </c>
      <c r="C35" t="s">
        <v>81</v>
      </c>
      <c r="G35" t="s">
        <v>77</v>
      </c>
      <c r="I35" s="19">
        <v>3</v>
      </c>
    </row>
    <row r="36" spans="2:9" ht="12.75" x14ac:dyDescent="0.2">
      <c r="B36" s="19" t="s">
        <v>82</v>
      </c>
      <c r="C36" t="s">
        <v>83</v>
      </c>
      <c r="G36" t="s">
        <v>77</v>
      </c>
      <c r="I36" s="19">
        <v>4</v>
      </c>
    </row>
    <row r="37" spans="2:9" ht="15.75" customHeight="1" x14ac:dyDescent="0.2"/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/>
    <row r="42" spans="2:9" ht="15.75" customHeight="1" x14ac:dyDescent="0.2"/>
    <row r="43" spans="2:9" ht="15.75" customHeight="1" x14ac:dyDescent="0.2"/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</sheetData>
  <mergeCells count="5">
    <mergeCell ref="C10:F10"/>
    <mergeCell ref="C6:F6"/>
    <mergeCell ref="C7:F7"/>
    <mergeCell ref="C8:F8"/>
    <mergeCell ref="C9:F9"/>
  </mergeCells>
  <phoneticPr fontId="8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2"/>
  <sheetViews>
    <sheetView zoomScale="127" zoomScaleNormal="100" workbookViewId="0">
      <selection activeCell="B19" sqref="B19"/>
    </sheetView>
  </sheetViews>
  <sheetFormatPr baseColWidth="10" defaultColWidth="12.5703125" defaultRowHeight="15" customHeight="1" x14ac:dyDescent="0.2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2"/>
      <c r="C3" s="2" t="s">
        <v>40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</row>
    <row r="4" spans="1:11" ht="15.75" customHeight="1" x14ac:dyDescent="0.2">
      <c r="B4" t="s">
        <v>41</v>
      </c>
      <c r="C4" s="15">
        <v>4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 s="14">
        <v>4</v>
      </c>
    </row>
    <row r="5" spans="1:11" ht="15.75" customHeight="1" x14ac:dyDescent="0.2">
      <c r="B5" t="s">
        <v>44</v>
      </c>
      <c r="C5" s="1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 s="14">
        <v>1</v>
      </c>
    </row>
    <row r="6" spans="1:11" ht="15.75" customHeight="1" x14ac:dyDescent="0.2">
      <c r="A6" s="2"/>
      <c r="B6" t="s">
        <v>46</v>
      </c>
      <c r="C6" s="15">
        <v>2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14">
        <v>2</v>
      </c>
    </row>
    <row r="7" spans="1:11" ht="15.75" customHeight="1" x14ac:dyDescent="0.2">
      <c r="A7" s="2"/>
      <c r="B7" t="s">
        <v>48</v>
      </c>
      <c r="C7" s="15">
        <v>4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14">
        <v>4</v>
      </c>
    </row>
    <row r="8" spans="1:11" ht="15.75" customHeight="1" x14ac:dyDescent="0.2"/>
    <row r="9" spans="1:11" ht="15.75" customHeight="1" x14ac:dyDescent="0.4">
      <c r="B9" s="5" t="s">
        <v>92</v>
      </c>
      <c r="C9" s="6">
        <f>SUM(C4:C7)</f>
        <v>11</v>
      </c>
      <c r="D9" s="6">
        <f t="shared" ref="D9:J9" si="0">C9-SUM(D4:D7)</f>
        <v>8</v>
      </c>
      <c r="E9" s="7">
        <f t="shared" si="0"/>
        <v>6</v>
      </c>
      <c r="F9" s="6">
        <f t="shared" si="0"/>
        <v>4</v>
      </c>
      <c r="G9" s="6">
        <f t="shared" si="0"/>
        <v>3</v>
      </c>
      <c r="H9" s="6">
        <f t="shared" si="0"/>
        <v>3</v>
      </c>
      <c r="I9" s="6">
        <f t="shared" si="0"/>
        <v>1</v>
      </c>
      <c r="J9" s="6">
        <f t="shared" si="0"/>
        <v>0</v>
      </c>
    </row>
    <row r="10" spans="1:11" ht="15.75" customHeight="1" x14ac:dyDescent="0.4">
      <c r="B10" s="5" t="s">
        <v>93</v>
      </c>
      <c r="C10" s="6">
        <f>SUM(C4:C7)</f>
        <v>11</v>
      </c>
      <c r="D10" s="6">
        <f>C10-(SUM(C4:C7)/7)</f>
        <v>9.4285714285714288</v>
      </c>
      <c r="E10" s="7">
        <f>D10-(SUM(C4:C7)/7)</f>
        <v>7.8571428571428577</v>
      </c>
      <c r="F10" s="6">
        <f>E10-(SUM(C4:C7)/7)</f>
        <v>6.2857142857142865</v>
      </c>
      <c r="G10" s="6">
        <f>F10-(SUM(C4:C7)/7)</f>
        <v>4.7142857142857153</v>
      </c>
      <c r="H10" s="6">
        <f>G10-(SUM(C4:C7)/7)</f>
        <v>3.1428571428571441</v>
      </c>
      <c r="I10" s="6">
        <f>H10-(SUM(C4:C7)/7)</f>
        <v>1.5714285714285727</v>
      </c>
      <c r="J10" s="6">
        <f>I10-(SUM(C4:C7)/7)</f>
        <v>0</v>
      </c>
    </row>
    <row r="11" spans="1:11" ht="15.75" customHeight="1" x14ac:dyDescent="0.2"/>
    <row r="12" spans="1:11" ht="15.75" customHeight="1" x14ac:dyDescent="0.2"/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spans="2:5" ht="15.75" customHeight="1" x14ac:dyDescent="0.2"/>
    <row r="18" spans="2:5" ht="15.75" customHeight="1" x14ac:dyDescent="0.2"/>
    <row r="19" spans="2:5" ht="15.75" customHeight="1" x14ac:dyDescent="0.2">
      <c r="B19" s="34"/>
      <c r="C19" s="34"/>
      <c r="D19" s="34"/>
      <c r="E19" s="34"/>
    </row>
    <row r="20" spans="2:5" ht="15.75" customHeight="1" x14ac:dyDescent="0.2">
      <c r="B20" s="34"/>
      <c r="C20" s="34"/>
      <c r="D20" s="34"/>
      <c r="E20" s="34"/>
    </row>
    <row r="21" spans="2:5" ht="15.75" customHeight="1" x14ac:dyDescent="0.2">
      <c r="B21" s="34"/>
      <c r="C21" s="34"/>
      <c r="D21" s="34"/>
      <c r="E21" s="34"/>
    </row>
    <row r="22" spans="2:5" ht="15.75" customHeight="1" x14ac:dyDescent="0.2">
      <c r="B22" s="34"/>
      <c r="C22" s="34"/>
      <c r="D22" s="34"/>
      <c r="E22" s="34"/>
    </row>
    <row r="23" spans="2:5" ht="15.75" customHeight="1" x14ac:dyDescent="0.2">
      <c r="B23" s="34"/>
      <c r="C23" s="34"/>
      <c r="D23" s="34"/>
      <c r="E23" s="34"/>
    </row>
    <row r="24" spans="2:5" ht="15.75" customHeight="1" x14ac:dyDescent="0.2">
      <c r="B24" s="34"/>
      <c r="C24" s="34"/>
      <c r="D24" s="34"/>
      <c r="E24" s="34"/>
    </row>
    <row r="25" spans="2:5" ht="15.75" customHeight="1" x14ac:dyDescent="0.2">
      <c r="B25" s="34"/>
      <c r="C25" s="34"/>
      <c r="D25" s="34"/>
      <c r="E25" s="34"/>
    </row>
    <row r="26" spans="2:5" ht="15.75" customHeight="1" x14ac:dyDescent="0.2">
      <c r="B26" s="34"/>
      <c r="C26" s="34"/>
      <c r="D26" s="34"/>
      <c r="E26" s="34"/>
    </row>
    <row r="27" spans="2:5" ht="15.75" customHeight="1" x14ac:dyDescent="0.2">
      <c r="B27" s="34"/>
      <c r="C27" s="34"/>
      <c r="D27" s="34"/>
      <c r="E27" s="34"/>
    </row>
    <row r="28" spans="2:5" ht="15.75" customHeight="1" x14ac:dyDescent="0.2">
      <c r="B28" s="34"/>
      <c r="C28" s="34"/>
      <c r="D28" s="34"/>
      <c r="E28" s="34"/>
    </row>
    <row r="29" spans="2:5" ht="15.75" customHeight="1" x14ac:dyDescent="0.2">
      <c r="B29" s="34"/>
      <c r="C29" s="34"/>
      <c r="D29" s="34"/>
      <c r="E29" s="34"/>
    </row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B19:E2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sprint2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Juan Socasi</cp:lastModifiedBy>
  <cp:revision/>
  <dcterms:created xsi:type="dcterms:W3CDTF">2023-01-13T00:08:30Z</dcterms:created>
  <dcterms:modified xsi:type="dcterms:W3CDTF">2026-05-29T16:11:26Z</dcterms:modified>
  <cp:category/>
  <cp:contentStatus/>
</cp:coreProperties>
</file>
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CB7A4A1C592F50AE/Imágenes/Documentos/"/>
    </mc:Choice>
  </mc:AlternateContent>
  <xr:revisionPtr revIDLastSave="0" documentId="8_{9384EBBA-348E-4483-AB54-BEE7CF68E123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acklog" sheetId="1" r:id="rId1"/>
    <sheet name="sprint1" sheetId="2" r:id="rId2"/>
    <sheet name="sprint2" sheetId="4" r:id="rId3"/>
    <sheet name="burdonchar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 s="1"/>
  <c r="E9" i="3" s="1"/>
  <c r="F9" i="3" s="1"/>
  <c r="G9" i="3" s="1"/>
  <c r="H9" i="3" s="1"/>
  <c r="I9" i="3" s="1"/>
  <c r="J9" i="3" s="1"/>
  <c r="C10" i="3"/>
  <c r="D10" i="3" s="1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<sst xmlns="http://schemas.openxmlformats.org/spreadsheetml/2006/main" count="299" uniqueCount="143">
  <si>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</si>
  <si>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</si>
  <si>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</si>
  <si>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</si>
  <si>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</si>
  <si>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</si>
  <si>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</si>
  <si>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</si>
  <si>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</si>
  <si>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</si>
  <si>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</si>
  <si>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</si>
  <si>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</si>
  <si>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 xml:space="preserve">#intentos de ingreso </t>
  </si>
  <si>
    <t>Alta</t>
  </si>
  <si>
    <t>Completado</t>
  </si>
  <si>
    <t>REQ002</t>
  </si>
  <si>
    <t>Gestion de inventario</t>
  </si>
  <si>
    <t xml:space="preserve">El programa debe tener una interfaz grafica que muestre todos los productos del negocio </t>
  </si>
  <si>
    <t>Monitorear en tiempo real los productos existentes y gestionar los mismos</t>
  </si>
  <si>
    <t>#Panel principal donde se muestra toda la oferta del negocio</t>
  </si>
  <si>
    <t>REQ003</t>
  </si>
  <si>
    <t>Busqueda de Productos por el nombre</t>
  </si>
  <si>
    <t>Cliente</t>
  </si>
  <si>
    <t>El programa debe tener la capacidad de buscar los productos por el nombre</t>
  </si>
  <si>
    <t>Buscar rapidamente un producto o accesorio sin la necesidad de buscar en todo el catalogo</t>
  </si>
  <si>
    <t>#muestra solo los productos que coinciden con el texto</t>
  </si>
  <si>
    <t>REQ004</t>
  </si>
  <si>
    <t>Información extendida de los productos</t>
  </si>
  <si>
    <t>El programa debe tener un formulario con la informacion especifica del producto</t>
  </si>
  <si>
    <t>Conocer detalles tecnicos como compatibilidad de años, marca o material antes de venderlo.</t>
  </si>
  <si>
    <t xml:space="preserve">#una ventana emergente con las especificaciones del producto  </t>
  </si>
  <si>
    <t>REQ005</t>
  </si>
  <si>
    <t>Control de provedores</t>
  </si>
  <si>
    <t>El programa debe tener un formulario donde se pueda observar la informacion del provedor del producto</t>
  </si>
  <si>
    <t>Mantener un control sobre los provedores y los productos que ofrecen</t>
  </si>
  <si>
    <t>Requiere validación de campos obligatorios</t>
  </si>
  <si>
    <t>En Progreso</t>
  </si>
  <si>
    <t>REQ006</t>
  </si>
  <si>
    <t xml:space="preserve"> Alertas de bajo stock</t>
  </si>
  <si>
    <t>El programa debe tener una alerta informe cada vez que un producto tenga menos de 5 unidades</t>
  </si>
  <si>
    <t>Conocer que productos del negocio estan cerca de acabarse</t>
  </si>
  <si>
    <t>La alerta debe actualizarse en tiempo real</t>
  </si>
  <si>
    <t>REQ007</t>
  </si>
  <si>
    <t>informacion de productos solicitados</t>
  </si>
  <si>
    <t>El programa debe tener un formulario que muestre que productos ya fueron solicitados</t>
  </si>
  <si>
    <t>Informar al cliente que productos ya se encuentran solicitados</t>
  </si>
  <si>
    <t>El estado 'Solicitado' debe diferenciarse visualmente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</si>
  <si>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</si>
  <si>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</si>
  <si>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</si>
  <si>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</si>
  <si>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</si>
  <si>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</si>
  <si>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</si>
  <si>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</si>
  <si>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</si>
  <si>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</si>
  <si>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</si>
  <si>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una pantalla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</si>
  <si>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</si>
  <si>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</si>
  <si>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</si>
  <si>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</si>
  <si>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</si>
  <si>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</si>
  <si>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</si>
  <si>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</si>
  <si>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</si>
  <si>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</si>
  <si>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</si>
  <si>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 xml:space="preserve">una interfaz grafica que muestre todos los productos del negocio </t>
  </si>
  <si>
    <t>Monitorear en tiempo real el stock existente en la bodega y optimizar el proceso de venta al público</t>
  </si>
  <si>
    <t>REQ002-1</t>
  </si>
  <si>
    <t>Visualizar el listado general de productos (ID, Nombre, Cantidad, Precio).</t>
  </si>
  <si>
    <t>Juan Socasi</t>
  </si>
  <si>
    <t>REQ002-2</t>
  </si>
  <si>
    <t>Agregar un nuevo producto.</t>
  </si>
  <si>
    <t>REQ002-3</t>
  </si>
  <si>
    <t>Editar un producto existente.</t>
  </si>
  <si>
    <t>REQ002-4</t>
  </si>
  <si>
    <t>Eliminar un producto del registro.</t>
  </si>
  <si>
    <t>Filtrar  un producto mediante su nombre</t>
  </si>
  <si>
    <t>Buscar rapidamente un producto o accesorio sin la necesidad de recorrer todo el catalogo</t>
  </si>
  <si>
    <t>REQ003-1</t>
  </si>
  <si>
    <t>Crear visualmente la barra de búsqueda dentro del módulo de catálogo de productos, incluyendo el campo de texto</t>
  </si>
  <si>
    <t>Vicente Sanchez</t>
  </si>
  <si>
    <t>REQ003-2</t>
  </si>
  <si>
    <t>Escribir la consulta con filtros por nombre y vincularla con la barra de búsqueda desde el código Java</t>
  </si>
  <si>
    <t>REQ003-3</t>
  </si>
  <si>
    <t>Configurar la interfaz para que cada vez que el usuario escriba en el buscador los resultados se actualicen automáticamente sin necesidad de recargar</t>
  </si>
  <si>
    <t>REQ003-4</t>
  </si>
  <si>
    <t>Probar el buscador escribiendo nombres de productos reales del catálogo y verificar que los resultados mostrados sean correctos</t>
  </si>
  <si>
    <t>Informacion extendida de los productos</t>
  </si>
  <si>
    <t>Un botón de "ver mas" que abra una ficha completa con la descripcion  del producto</t>
  </si>
  <si>
    <t>REQ004-1</t>
  </si>
  <si>
    <t>Agregar botón "Ver más" en cada producto del catálogo.</t>
  </si>
  <si>
    <t>Jonathan Rodrigez</t>
  </si>
  <si>
    <t>REQ004-2</t>
  </si>
  <si>
    <t>Crear ventana con detalles del producto.</t>
  </si>
  <si>
    <t>REQ004-3</t>
  </si>
  <si>
    <t>Vincular ficha a los datos del producto desde los registros</t>
  </si>
  <si>
    <t>REQ004-4</t>
  </si>
  <si>
    <t>Probar que la información mostrada coincide con el producto seleccionado.</t>
  </si>
  <si>
    <t>Un apartado adicional donde se pueda observar la informacion del provedor del producto</t>
  </si>
  <si>
    <t>REQ005-1</t>
  </si>
  <si>
    <t>Agregar un boton "Ver Proveedor" en la tabla de productos</t>
  </si>
  <si>
    <t>REQ005-2</t>
  </si>
  <si>
    <t>Crear una ventana emergente con los datos del proveedor</t>
  </si>
  <si>
    <t>REQ005-3</t>
  </si>
  <si>
    <t>Seleccionar un producto y verificar que se muestre correctamente la información de su proveedor</t>
  </si>
  <si>
    <t>Control de stock</t>
  </si>
  <si>
    <t>Una alerta visual cuando el stock sea menor a 5</t>
  </si>
  <si>
    <t>Saber que productos estan por agotarse</t>
  </si>
  <si>
    <t>REQ006-1</t>
  </si>
  <si>
    <t>Crear un panel visual de alertas en el modulo de inventario</t>
  </si>
  <si>
    <t>REQ006-2</t>
  </si>
  <si>
    <t>Mostrar en la interfaz el producto que tiene menos de 5 unidades</t>
  </si>
  <si>
    <t>REQ006-3</t>
  </si>
  <si>
    <t>Añadir un indicador de color para los productos con bajo stock</t>
  </si>
  <si>
    <t>REQ006-4</t>
  </si>
  <si>
    <t>Hacer pruebas para confirmar la notificacion</t>
  </si>
  <si>
    <t>Informacion de estado de solicitud</t>
  </si>
  <si>
    <t>Un apartado adicional para saber que productos ya fueron solicitados</t>
  </si>
  <si>
    <t>REQ007-1</t>
  </si>
  <si>
    <t>Crear  la sección dentro  solicitudes donde el administrador pueda ver el historial.</t>
  </si>
  <si>
    <t>Jonathan Rodriguez</t>
  </si>
  <si>
    <t>REQ007-2</t>
  </si>
  <si>
    <t>Mostrar el listado de los productos específicos que pertenecen a la solicitud seleccionada.</t>
  </si>
  <si>
    <t>REQ007-3</t>
  </si>
  <si>
    <t>Incluir una etiqueta  al lado de cada producto que indique claramente que ya ha sido solicitado.</t>
  </si>
  <si>
    <t>REQ007-4</t>
  </si>
  <si>
    <t>Probar el módulo seleccionando diferentes solicitudes para verificar que la lista de productos mostrada sea la correcta y real.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</si>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</sst>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77" zoomScaleNormal="145" workbookViewId="0">
      <selection activeCell="B6" sqref="B6"/>
    </sheetView>
  </sheetViews>
  <sheetFormatPr defaultColWidth="12.5703125" defaultRowHeight="15" customHeight="1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46" bestFit="1" customWidth="1"/>
    <col min="6" max="6" width="34.42578125" customWidth="1"/>
  </cols>
  <sheetData>
    <row r="1" spans="1:8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5.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 t="s">
        <v>13</v>
      </c>
      <c r="G2" s="16" t="s">
        <v>14</v>
      </c>
      <c r="H2" s="16" t="s">
        <v>15</v>
      </c>
    </row>
    <row r="3" spans="1:8" ht="25.5">
      <c r="A3" s="16" t="s">
        <v>16</v>
      </c>
      <c r="B3" s="17" t="s">
        <v>17</v>
      </c>
      <c r="C3" s="16" t="s">
        <v>10</v>
      </c>
      <c r="D3" s="17" t="s">
        <v>18</v>
      </c>
      <c r="E3" s="17" t="s">
        <v>19</v>
      </c>
      <c r="F3" s="17" t="s">
        <v>20</v>
      </c>
      <c r="G3" s="16" t="s">
        <v>14</v>
      </c>
      <c r="H3" s="16" t="s">
        <v>15</v>
      </c>
    </row>
    <row r="4" spans="1:8" ht="25.5">
      <c r="A4" s="16" t="s">
        <v>21</v>
      </c>
      <c r="B4" s="16" t="s">
        <v>22</v>
      </c>
      <c r="C4" s="16" t="s">
        <v>23</v>
      </c>
      <c r="D4" s="17" t="s">
        <v>24</v>
      </c>
      <c r="E4" s="17" t="s">
        <v>25</v>
      </c>
      <c r="F4" s="17" t="s">
        <v>26</v>
      </c>
      <c r="G4" s="16" t="s">
        <v>14</v>
      </c>
      <c r="H4" s="16" t="s">
        <v>15</v>
      </c>
    </row>
    <row r="5" spans="1:8" ht="25.5">
      <c r="A5" s="16" t="s">
        <v>27</v>
      </c>
      <c r="B5" s="16" t="s">
        <v>28</v>
      </c>
      <c r="C5" s="16" t="s">
        <v>23</v>
      </c>
      <c r="D5" s="24" t="s">
        <v>29</v>
      </c>
      <c r="E5" s="17" t="s">
        <v>30</v>
      </c>
      <c r="F5" s="17" t="s">
        <v>31</v>
      </c>
      <c r="G5" s="16" t="s">
        <v>14</v>
      </c>
      <c r="H5" s="16" t="s">
        <v>15</v>
      </c>
    </row>
    <row r="6" spans="1:8" ht="38.25">
      <c r="A6" s="16" t="s">
        <v>32</v>
      </c>
      <c r="B6" s="16" t="s">
        <v>33</v>
      </c>
      <c r="C6" s="16" t="s">
        <v>10</v>
      </c>
      <c r="D6" s="17" t="s">
        <v>34</v>
      </c>
      <c r="E6" s="36" t="s">
        <v>35</v>
      </c>
      <c r="F6" s="17" t="s">
        <v>36</v>
      </c>
      <c r="G6" s="16" t="s">
        <v>14</v>
      </c>
      <c r="H6" s="16" t="s">
        <v>37</v>
      </c>
    </row>
    <row r="7" spans="1:8" ht="25.5">
      <c r="A7" s="16" t="s">
        <v>38</v>
      </c>
      <c r="B7" s="16" t="s">
        <v>39</v>
      </c>
      <c r="C7" s="16" t="s">
        <v>10</v>
      </c>
      <c r="D7" s="17" t="s">
        <v>40</v>
      </c>
      <c r="E7" s="17" t="s">
        <v>41</v>
      </c>
      <c r="F7" s="17" t="s">
        <v>42</v>
      </c>
      <c r="G7" s="16" t="s">
        <v>14</v>
      </c>
      <c r="H7" s="16" t="s">
        <v>37</v>
      </c>
    </row>
    <row r="8" spans="1:8" ht="25.5">
      <c r="A8" s="16" t="s">
        <v>43</v>
      </c>
      <c r="B8" s="16" t="s">
        <v>44</v>
      </c>
      <c r="C8" s="16" t="s">
        <v>10</v>
      </c>
      <c r="D8" s="17" t="s">
        <v>45</v>
      </c>
      <c r="E8" s="17" t="s">
        <v>46</v>
      </c>
      <c r="F8" s="17" t="s">
        <v>47</v>
      </c>
      <c r="G8" s="16" t="s">
        <v>14</v>
      </c>
      <c r="H8" s="16" t="s">
        <v>37</v>
      </c>
    </row>
    <row r="9" spans="1:8" ht="15.75" customHeight="1">
      <c r="A9" s="16"/>
      <c r="B9" s="16"/>
      <c r="C9" s="16"/>
      <c r="D9" s="16"/>
      <c r="E9" s="16"/>
      <c r="F9" s="16"/>
      <c r="G9" s="16"/>
      <c r="H9" s="16"/>
    </row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62"/>
  <sheetViews>
    <sheetView topLeftCell="A3" zoomScale="89" zoomScaleNormal="100" workbookViewId="0">
      <selection activeCell="B3" sqref="B3:I4"/>
    </sheetView>
  </sheetViews>
  <sheetFormatPr defaultColWidth="12.5703125" defaultRowHeight="15" customHeight="1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2:9" ht="15.75" customHeight="1"/>
    <row r="2" spans="2:9" ht="15.75" customHeight="1"/>
    <row r="3" spans="2:9" ht="15.75" customHeight="1">
      <c r="B3" s="1" t="s">
        <v>0</v>
      </c>
      <c r="C3" s="1" t="s">
        <v>1</v>
      </c>
      <c r="D3" s="1" t="s">
        <v>2</v>
      </c>
      <c r="E3" s="1" t="s">
        <v>48</v>
      </c>
      <c r="F3" s="1" t="s">
        <v>49</v>
      </c>
      <c r="G3" s="1" t="s">
        <v>5</v>
      </c>
      <c r="H3" s="1" t="s">
        <v>50</v>
      </c>
      <c r="I3" s="1" t="s">
        <v>51</v>
      </c>
    </row>
    <row r="4" spans="2:9" ht="15.75" customHeight="1">
      <c r="B4" s="3" t="s">
        <v>8</v>
      </c>
      <c r="C4" s="3" t="s">
        <v>9</v>
      </c>
      <c r="D4" s="3" t="s">
        <v>10</v>
      </c>
      <c r="E4" s="9" t="s">
        <v>52</v>
      </c>
      <c r="F4" s="3" t="s">
        <v>12</v>
      </c>
      <c r="G4" s="3" t="s">
        <v>53</v>
      </c>
      <c r="H4" s="3" t="s">
        <v>14</v>
      </c>
      <c r="I4" s="3" t="s">
        <v>54</v>
      </c>
    </row>
    <row r="5" spans="2:9" ht="15.75" customHeight="1">
      <c r="B5" s="2"/>
      <c r="C5" s="4" t="s">
        <v>55</v>
      </c>
      <c r="D5" s="2"/>
      <c r="E5" s="2"/>
      <c r="F5" s="2"/>
      <c r="G5" s="4" t="s">
        <v>56</v>
      </c>
      <c r="H5" s="2"/>
      <c r="I5" s="4" t="s">
        <v>57</v>
      </c>
    </row>
    <row r="6" spans="2:9" ht="15.75" customHeight="1">
      <c r="B6" s="11" t="s">
        <v>58</v>
      </c>
      <c r="C6" s="32" t="s">
        <v>59</v>
      </c>
      <c r="D6" s="33"/>
      <c r="E6" s="33"/>
      <c r="F6" s="33"/>
      <c r="G6" t="s">
        <v>60</v>
      </c>
      <c r="H6" s="2"/>
      <c r="I6" s="10">
        <v>4</v>
      </c>
    </row>
    <row r="7" spans="2:9" ht="15.75" customHeight="1">
      <c r="B7" s="11" t="s">
        <v>61</v>
      </c>
      <c r="C7" s="32" t="s">
        <v>62</v>
      </c>
      <c r="D7" s="33"/>
      <c r="E7" s="33"/>
      <c r="F7" s="33"/>
      <c r="G7" t="s">
        <v>60</v>
      </c>
      <c r="H7" s="2"/>
      <c r="I7" s="10">
        <v>1</v>
      </c>
    </row>
    <row r="8" spans="2:9" ht="15.75" customHeight="1">
      <c r="B8" s="11" t="s">
        <v>63</v>
      </c>
      <c r="C8" s="32" t="s">
        <v>64</v>
      </c>
      <c r="D8" s="33"/>
      <c r="E8" s="33"/>
      <c r="F8" s="33"/>
      <c r="G8" t="s">
        <v>60</v>
      </c>
      <c r="H8" s="2"/>
      <c r="I8" s="11">
        <v>2</v>
      </c>
    </row>
    <row r="9" spans="2:9" ht="15.75" customHeight="1">
      <c r="B9" s="13" t="s">
        <v>65</v>
      </c>
      <c r="C9" s="2" t="s">
        <v>66</v>
      </c>
      <c r="D9" s="2"/>
      <c r="E9" s="2"/>
      <c r="F9" s="2"/>
      <c r="G9" t="s">
        <v>60</v>
      </c>
      <c r="H9" s="1"/>
      <c r="I9" s="10">
        <v>4</v>
      </c>
    </row>
    <row r="10" spans="2:9" ht="15.75" customHeight="1">
      <c r="B10" s="23" t="s">
        <v>67</v>
      </c>
      <c r="C10" s="2" t="s">
        <v>68</v>
      </c>
      <c r="D10" s="2"/>
      <c r="E10" s="2"/>
      <c r="F10" s="2"/>
      <c r="G10" t="s">
        <v>60</v>
      </c>
      <c r="H10" s="1"/>
      <c r="I10" s="10">
        <v>4</v>
      </c>
    </row>
    <row r="11" spans="2:9" ht="15.75" customHeight="1">
      <c r="B11" s="23" t="s">
        <v>69</v>
      </c>
      <c r="C11" t="s">
        <v>70</v>
      </c>
      <c r="G11" t="s">
        <v>60</v>
      </c>
      <c r="H11" s="12"/>
      <c r="I11" s="12">
        <v>1</v>
      </c>
    </row>
    <row r="12" spans="2:9" ht="15.75" customHeight="1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>
      <c r="B13" s="25" t="s">
        <v>0</v>
      </c>
      <c r="C13" s="25" t="s">
        <v>1</v>
      </c>
      <c r="D13" s="25" t="s">
        <v>2</v>
      </c>
      <c r="E13" s="25" t="s">
        <v>48</v>
      </c>
      <c r="F13" s="25" t="s">
        <v>49</v>
      </c>
      <c r="G13" s="25" t="s">
        <v>5</v>
      </c>
      <c r="H13" s="25" t="s">
        <v>50</v>
      </c>
      <c r="I13" s="25" t="s">
        <v>51</v>
      </c>
    </row>
    <row r="14" spans="2:9" ht="25.5">
      <c r="B14" s="18" t="s">
        <v>16</v>
      </c>
      <c r="C14" s="27" t="s">
        <v>17</v>
      </c>
      <c r="D14" s="28" t="s">
        <v>10</v>
      </c>
      <c r="E14" s="22" t="s">
        <v>71</v>
      </c>
      <c r="F14" s="27" t="s">
        <v>72</v>
      </c>
      <c r="G14" s="18" t="s">
        <v>53</v>
      </c>
      <c r="H14" s="18" t="s">
        <v>14</v>
      </c>
      <c r="I14" s="18" t="s">
        <v>54</v>
      </c>
    </row>
    <row r="15" spans="2:9" s="25" customFormat="1" ht="15.75" customHeight="1">
      <c r="C15" s="25" t="s">
        <v>55</v>
      </c>
      <c r="G15" s="25" t="s">
        <v>56</v>
      </c>
      <c r="I15" s="25" t="s">
        <v>57</v>
      </c>
    </row>
    <row r="16" spans="2:9" ht="15.75" customHeight="1">
      <c r="B16" s="19" t="s">
        <v>73</v>
      </c>
      <c r="C16" s="29" t="s">
        <v>74</v>
      </c>
      <c r="G16" t="s">
        <v>75</v>
      </c>
      <c r="I16" s="19">
        <v>4</v>
      </c>
    </row>
    <row r="17" spans="1:10" ht="15.75" customHeight="1">
      <c r="B17" s="19" t="s">
        <v>76</v>
      </c>
      <c r="C17" s="29" t="s">
        <v>77</v>
      </c>
      <c r="G17" t="s">
        <v>75</v>
      </c>
      <c r="I17" s="19">
        <v>4</v>
      </c>
    </row>
    <row r="18" spans="1:10" ht="15.75" customHeight="1">
      <c r="B18" s="19" t="s">
        <v>78</v>
      </c>
      <c r="C18" s="29" t="s">
        <v>79</v>
      </c>
      <c r="G18" t="s">
        <v>75</v>
      </c>
      <c r="I18" s="19">
        <v>4</v>
      </c>
    </row>
    <row r="19" spans="1:10" ht="15.75" customHeight="1">
      <c r="B19" s="19" t="s">
        <v>80</v>
      </c>
      <c r="C19" s="29" t="s">
        <v>81</v>
      </c>
      <c r="G19" t="s">
        <v>75</v>
      </c>
      <c r="I19" s="19">
        <v>4</v>
      </c>
    </row>
    <row r="20" spans="1:10" ht="15.75" customHeight="1">
      <c r="B20" s="19"/>
      <c r="C20" s="29"/>
      <c r="I20" s="19"/>
    </row>
    <row r="21" spans="1:10" ht="15.75" customHeight="1"/>
    <row r="22" spans="1:10" s="25" customFormat="1" ht="15.75" customHeight="1">
      <c r="B22" s="26" t="s">
        <v>0</v>
      </c>
      <c r="C22" s="26" t="s">
        <v>1</v>
      </c>
      <c r="D22" s="26" t="s">
        <v>2</v>
      </c>
      <c r="E22" s="26" t="s">
        <v>48</v>
      </c>
      <c r="F22" s="26" t="s">
        <v>49</v>
      </c>
      <c r="G22" s="26" t="s">
        <v>5</v>
      </c>
      <c r="H22" s="26" t="s">
        <v>50</v>
      </c>
      <c r="I22" s="26" t="s">
        <v>51</v>
      </c>
    </row>
    <row r="23" spans="1:10" ht="25.5">
      <c r="A23" s="21"/>
      <c r="B23" s="20" t="s">
        <v>21</v>
      </c>
      <c r="C23" s="20" t="s">
        <v>22</v>
      </c>
      <c r="D23" s="20" t="s">
        <v>23</v>
      </c>
      <c r="E23" s="20" t="s">
        <v>82</v>
      </c>
      <c r="F23" s="20" t="s">
        <v>83</v>
      </c>
      <c r="G23" s="20" t="s">
        <v>13</v>
      </c>
      <c r="H23" s="20" t="s">
        <v>14</v>
      </c>
      <c r="I23" s="20" t="s">
        <v>54</v>
      </c>
      <c r="J23" s="21"/>
    </row>
    <row r="24" spans="1:10" s="25" customFormat="1" ht="15.75" customHeight="1">
      <c r="B24" s="26"/>
      <c r="C24" s="26" t="s">
        <v>55</v>
      </c>
      <c r="D24" s="26"/>
      <c r="E24" s="26"/>
      <c r="F24" s="26"/>
      <c r="G24" s="26" t="s">
        <v>56</v>
      </c>
      <c r="H24" s="26"/>
      <c r="I24" s="26" t="s">
        <v>57</v>
      </c>
    </row>
    <row r="25" spans="1:10" ht="15.75" customHeight="1">
      <c r="B25" s="19" t="s">
        <v>84</v>
      </c>
      <c r="C25" s="30" t="s">
        <v>85</v>
      </c>
      <c r="G25" t="s">
        <v>86</v>
      </c>
      <c r="I25" s="19">
        <v>1</v>
      </c>
    </row>
    <row r="26" spans="1:10" ht="15.75" customHeight="1">
      <c r="B26" s="19" t="s">
        <v>87</v>
      </c>
      <c r="C26" s="29" t="s">
        <v>88</v>
      </c>
      <c r="G26" t="s">
        <v>86</v>
      </c>
      <c r="I26" s="19">
        <v>4</v>
      </c>
    </row>
    <row r="27" spans="1:10" ht="15.75" customHeight="1">
      <c r="B27" s="19" t="s">
        <v>89</v>
      </c>
      <c r="C27" s="30" t="s">
        <v>90</v>
      </c>
      <c r="G27" t="s">
        <v>86</v>
      </c>
      <c r="I27" s="19">
        <v>4</v>
      </c>
    </row>
    <row r="28" spans="1:10" ht="15.75" customHeight="1">
      <c r="B28" s="19" t="s">
        <v>91</v>
      </c>
      <c r="C28" t="s">
        <v>92</v>
      </c>
      <c r="G28" t="s">
        <v>86</v>
      </c>
      <c r="I28" s="19">
        <v>4</v>
      </c>
    </row>
    <row r="29" spans="1:10" ht="15.75" customHeight="1"/>
    <row r="30" spans="1:10" ht="15.75" customHeight="1"/>
    <row r="31" spans="1:10" s="25" customFormat="1" ht="15.75" customHeight="1">
      <c r="B31" s="25" t="s">
        <v>0</v>
      </c>
      <c r="C31" s="25" t="s">
        <v>1</v>
      </c>
      <c r="D31" s="25" t="s">
        <v>2</v>
      </c>
      <c r="E31" s="25" t="s">
        <v>48</v>
      </c>
      <c r="F31" s="25" t="s">
        <v>49</v>
      </c>
      <c r="G31" s="25" t="s">
        <v>5</v>
      </c>
      <c r="H31" s="25" t="s">
        <v>50</v>
      </c>
      <c r="I31" s="25" t="s">
        <v>51</v>
      </c>
    </row>
    <row r="32" spans="1:10" ht="25.5">
      <c r="B32" t="s">
        <v>27</v>
      </c>
      <c r="C32" s="27" t="s">
        <v>93</v>
      </c>
      <c r="D32" s="18" t="s">
        <v>10</v>
      </c>
      <c r="E32" s="22" t="s">
        <v>94</v>
      </c>
      <c r="F32" s="22" t="s">
        <v>30</v>
      </c>
      <c r="G32" s="18" t="s">
        <v>53</v>
      </c>
      <c r="H32" s="18" t="s">
        <v>14</v>
      </c>
      <c r="I32" s="20" t="s">
        <v>54</v>
      </c>
    </row>
    <row r="33" spans="2:9" s="25" customFormat="1" ht="15.75" customHeight="1">
      <c r="C33" s="25" t="s">
        <v>55</v>
      </c>
      <c r="G33" s="25" t="s">
        <v>56</v>
      </c>
      <c r="I33" s="25" t="s">
        <v>57</v>
      </c>
    </row>
    <row r="34" spans="2:9" ht="15.75" customHeight="1">
      <c r="B34" s="19" t="s">
        <v>95</v>
      </c>
      <c r="C34" t="s">
        <v>96</v>
      </c>
      <c r="G34" s="2" t="s">
        <v>97</v>
      </c>
      <c r="I34" s="19">
        <v>5</v>
      </c>
    </row>
    <row r="35" spans="2:9" ht="12.75">
      <c r="B35" s="19" t="s">
        <v>98</v>
      </c>
      <c r="C35" s="29" t="s">
        <v>99</v>
      </c>
      <c r="G35" s="2" t="s">
        <v>97</v>
      </c>
      <c r="I35" s="19">
        <v>3</v>
      </c>
    </row>
    <row r="36" spans="2:9" ht="12.75">
      <c r="B36" s="19" t="s">
        <v>100</v>
      </c>
      <c r="C36" s="29" t="s">
        <v>101</v>
      </c>
      <c r="G36" s="2" t="s">
        <v>97</v>
      </c>
      <c r="I36" s="19">
        <v>3</v>
      </c>
    </row>
    <row r="37" spans="2:9" ht="12.75">
      <c r="B37" s="19" t="s">
        <v>102</v>
      </c>
      <c r="C37" t="s">
        <v>103</v>
      </c>
      <c r="G37" s="2" t="s">
        <v>97</v>
      </c>
      <c r="I37" s="19">
        <v>4</v>
      </c>
    </row>
    <row r="38" spans="2:9" ht="15.75" customHeight="1"/>
    <row r="39" spans="2:9" ht="15.75" customHeight="1"/>
    <row r="40" spans="2:9" ht="15.75" customHeight="1"/>
    <row r="41" spans="2:9" ht="15.75" customHeight="1"/>
    <row r="42" spans="2:9" ht="15.75" customHeight="1"/>
    <row r="43" spans="2:9" ht="15.75" customHeight="1"/>
    <row r="44" spans="2:9" ht="15.75" customHeight="1"/>
    <row r="45" spans="2:9" ht="15.75" customHeight="1"/>
    <row r="46" spans="2:9" ht="15.75" customHeight="1"/>
    <row r="47" spans="2:9" ht="15.75" customHeight="1"/>
    <row r="48" spans="2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honeticPr fontId="9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28"/>
  <sheetViews>
    <sheetView tabSelected="1" topLeftCell="B1" zoomScaleNormal="100" workbookViewId="0">
      <selection activeCell="C26" sqref="C26"/>
    </sheetView>
  </sheetViews>
  <sheetFormatPr defaultColWidth="9.140625" defaultRowHeight="12.75"/>
  <cols>
    <col min="2" max="2" width="9.5703125" bestFit="1" customWidth="1"/>
    <col min="3" max="3" width="38.5703125" customWidth="1"/>
    <col min="4" max="4" width="13.28515625" customWidth="1"/>
    <col min="5" max="5" width="62.85546875" customWidth="1"/>
    <col min="6" max="6" width="46.7109375" customWidth="1"/>
    <col min="7" max="7" width="17.42578125" bestFit="1" customWidth="1"/>
    <col min="9" max="9" width="11.5703125" customWidth="1"/>
    <col min="16384" max="16384" width="9.140625" bestFit="1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48</v>
      </c>
      <c r="F2" s="1" t="s">
        <v>49</v>
      </c>
      <c r="G2" s="1" t="s">
        <v>5</v>
      </c>
      <c r="H2" s="1" t="s">
        <v>50</v>
      </c>
      <c r="I2" s="1" t="s">
        <v>51</v>
      </c>
    </row>
    <row r="3" spans="2:9" ht="25.5">
      <c r="B3" s="3" t="s">
        <v>32</v>
      </c>
      <c r="C3" s="3" t="s">
        <v>33</v>
      </c>
      <c r="D3" s="3" t="s">
        <v>10</v>
      </c>
      <c r="E3" s="38" t="s">
        <v>104</v>
      </c>
      <c r="F3" s="39" t="s">
        <v>35</v>
      </c>
      <c r="G3" s="3" t="s">
        <v>53</v>
      </c>
      <c r="H3" s="3" t="s">
        <v>14</v>
      </c>
      <c r="I3" s="3" t="s">
        <v>37</v>
      </c>
    </row>
    <row r="4" spans="2:9">
      <c r="C4" s="4" t="s">
        <v>55</v>
      </c>
      <c r="D4" s="2"/>
      <c r="E4" s="2"/>
      <c r="F4" s="2"/>
      <c r="G4" s="4" t="s">
        <v>56</v>
      </c>
      <c r="H4" s="2"/>
      <c r="I4" s="4" t="s">
        <v>57</v>
      </c>
    </row>
    <row r="5" spans="2:9">
      <c r="B5" s="19" t="s">
        <v>105</v>
      </c>
      <c r="C5" t="s">
        <v>106</v>
      </c>
      <c r="G5" t="s">
        <v>86</v>
      </c>
    </row>
    <row r="6" spans="2:9">
      <c r="B6" s="19" t="s">
        <v>107</v>
      </c>
      <c r="C6" t="s">
        <v>108</v>
      </c>
      <c r="G6" t="s">
        <v>86</v>
      </c>
    </row>
    <row r="7" spans="2:9">
      <c r="B7" s="19" t="s">
        <v>109</v>
      </c>
      <c r="C7" t="s">
        <v>110</v>
      </c>
      <c r="G7" t="s">
        <v>86</v>
      </c>
    </row>
    <row r="12" spans="2:9">
      <c r="B12" s="1" t="s">
        <v>0</v>
      </c>
      <c r="C12" s="1" t="s">
        <v>1</v>
      </c>
      <c r="D12" s="1" t="s">
        <v>2</v>
      </c>
      <c r="E12" s="1" t="s">
        <v>48</v>
      </c>
      <c r="F12" s="1" t="s">
        <v>49</v>
      </c>
      <c r="G12" s="1" t="s">
        <v>5</v>
      </c>
      <c r="H12" s="1" t="s">
        <v>50</v>
      </c>
      <c r="I12" s="1" t="s">
        <v>51</v>
      </c>
    </row>
    <row r="13" spans="2:9">
      <c r="B13" s="34" t="s">
        <v>38</v>
      </c>
      <c r="C13" s="34" t="s">
        <v>111</v>
      </c>
      <c r="D13" s="34" t="s">
        <v>10</v>
      </c>
      <c r="E13" s="35" t="s">
        <v>112</v>
      </c>
      <c r="F13" s="37" t="s">
        <v>113</v>
      </c>
      <c r="G13" s="34" t="s">
        <v>53</v>
      </c>
      <c r="H13" s="34" t="s">
        <v>14</v>
      </c>
      <c r="I13" s="34" t="s">
        <v>37</v>
      </c>
    </row>
    <row r="14" spans="2:9">
      <c r="C14" s="4" t="s">
        <v>55</v>
      </c>
      <c r="D14" s="2"/>
      <c r="E14" s="2"/>
      <c r="F14" s="2"/>
      <c r="G14" s="4" t="s">
        <v>56</v>
      </c>
      <c r="H14" s="2"/>
      <c r="I14" s="4" t="s">
        <v>57</v>
      </c>
    </row>
    <row r="15" spans="2:9">
      <c r="B15" s="19" t="s">
        <v>114</v>
      </c>
      <c r="C15" t="s">
        <v>115</v>
      </c>
      <c r="G15" t="s">
        <v>75</v>
      </c>
    </row>
    <row r="16" spans="2:9">
      <c r="B16" s="19" t="s">
        <v>116</v>
      </c>
      <c r="C16" t="s">
        <v>117</v>
      </c>
      <c r="G16" t="s">
        <v>75</v>
      </c>
    </row>
    <row r="17" spans="2:9">
      <c r="B17" s="19" t="s">
        <v>118</v>
      </c>
      <c r="C17" t="s">
        <v>119</v>
      </c>
      <c r="G17" t="s">
        <v>75</v>
      </c>
    </row>
    <row r="18" spans="2:9">
      <c r="B18" s="19" t="s">
        <v>120</v>
      </c>
      <c r="C18" t="s">
        <v>121</v>
      </c>
      <c r="G18" t="s">
        <v>75</v>
      </c>
    </row>
    <row r="22" spans="2:9">
      <c r="B22" s="1" t="s">
        <v>0</v>
      </c>
      <c r="C22" s="1" t="s">
        <v>1</v>
      </c>
      <c r="D22" s="1" t="s">
        <v>2</v>
      </c>
      <c r="E22" s="1" t="s">
        <v>48</v>
      </c>
      <c r="F22" s="1" t="s">
        <v>49</v>
      </c>
      <c r="G22" s="1" t="s">
        <v>5</v>
      </c>
      <c r="H22" s="1" t="s">
        <v>50</v>
      </c>
      <c r="I22" s="1" t="s">
        <v>51</v>
      </c>
    </row>
    <row r="23" spans="2:9" ht="25.5">
      <c r="B23" s="34" t="s">
        <v>43</v>
      </c>
      <c r="C23" s="34" t="s">
        <v>122</v>
      </c>
      <c r="D23" s="34" t="s">
        <v>10</v>
      </c>
      <c r="E23" s="35" t="s">
        <v>123</v>
      </c>
      <c r="F23" s="37" t="s">
        <v>46</v>
      </c>
      <c r="G23" s="34" t="s">
        <v>53</v>
      </c>
      <c r="H23" s="34" t="s">
        <v>14</v>
      </c>
      <c r="I23" s="34" t="s">
        <v>37</v>
      </c>
    </row>
    <row r="24" spans="2:9">
      <c r="C24" s="4" t="s">
        <v>55</v>
      </c>
      <c r="D24" s="2"/>
      <c r="E24" s="2"/>
      <c r="F24" s="2"/>
      <c r="G24" s="4" t="s">
        <v>56</v>
      </c>
      <c r="H24" s="2"/>
      <c r="I24" s="4" t="s">
        <v>57</v>
      </c>
    </row>
    <row r="25" spans="2:9">
      <c r="B25" s="19" t="s">
        <v>124</v>
      </c>
      <c r="C25" t="s">
        <v>125</v>
      </c>
      <c r="G25" t="s">
        <v>126</v>
      </c>
      <c r="I25">
        <v>5</v>
      </c>
    </row>
    <row r="26" spans="2:9">
      <c r="B26" s="19" t="s">
        <v>127</v>
      </c>
      <c r="C26" t="s">
        <v>128</v>
      </c>
      <c r="G26" t="s">
        <v>126</v>
      </c>
      <c r="I26">
        <v>4</v>
      </c>
    </row>
    <row r="27" spans="2:9">
      <c r="B27" s="19" t="s">
        <v>129</v>
      </c>
      <c r="C27" t="s">
        <v>130</v>
      </c>
      <c r="G27" t="s">
        <v>126</v>
      </c>
      <c r="I27">
        <v>2</v>
      </c>
    </row>
    <row r="28" spans="2:9">
      <c r="B28" s="19" t="s">
        <v>131</v>
      </c>
      <c r="C28" t="s">
        <v>132</v>
      </c>
      <c r="G28" t="s">
        <v>126</v>
      </c>
      <c r="I28"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="127" zoomScaleNormal="100" workbookViewId="0">
      <selection activeCell="B19" sqref="B19:E29"/>
    </sheetView>
  </sheetViews>
  <sheetFormatPr defaultColWidth="12.5703125" defaultRowHeight="15" customHeight="1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/>
    <row r="2" spans="1:11" ht="15.75" customHeight="1"/>
    <row r="3" spans="1:11" ht="15.75" customHeight="1">
      <c r="B3" s="2"/>
      <c r="C3" s="2" t="s">
        <v>57</v>
      </c>
      <c r="D3" s="2" t="s">
        <v>133</v>
      </c>
      <c r="E3" s="2" t="s">
        <v>134</v>
      </c>
      <c r="F3" s="2" t="s">
        <v>135</v>
      </c>
      <c r="G3" s="2" t="s">
        <v>136</v>
      </c>
      <c r="H3" s="2" t="s">
        <v>137</v>
      </c>
      <c r="I3" s="2" t="s">
        <v>138</v>
      </c>
      <c r="J3" s="2" t="s">
        <v>139</v>
      </c>
      <c r="K3" s="2" t="s">
        <v>140</v>
      </c>
    </row>
    <row r="4" spans="1:11" ht="15.75" customHeight="1">
      <c r="B4" t="s">
        <v>58</v>
      </c>
      <c r="C4" s="15">
        <v>4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14">
        <v>4</v>
      </c>
    </row>
    <row r="5" spans="1:11" ht="15.75" customHeight="1">
      <c r="B5" t="s">
        <v>61</v>
      </c>
      <c r="C5" s="1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14">
        <v>1</v>
      </c>
    </row>
    <row r="6" spans="1:11" ht="15.75" customHeight="1">
      <c r="A6" s="2"/>
      <c r="B6" t="s">
        <v>63</v>
      </c>
      <c r="C6" s="15">
        <v>2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14">
        <v>2</v>
      </c>
    </row>
    <row r="7" spans="1:11" ht="15.75" customHeight="1">
      <c r="A7" s="2"/>
      <c r="B7" t="s">
        <v>65</v>
      </c>
      <c r="C7" s="15">
        <v>4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14">
        <v>4</v>
      </c>
    </row>
    <row r="8" spans="1:11" ht="15.75" customHeight="1"/>
    <row r="9" spans="1:11" ht="15.75" customHeight="1">
      <c r="B9" s="5" t="s">
        <v>141</v>
      </c>
      <c r="C9" s="6">
        <f>SUM(C4:C7)</f>
        <v>11</v>
      </c>
      <c r="D9" s="6">
        <f t="shared" ref="D9:J9" si="0">C9-SUM(D4:D7)</f>
        <v>8</v>
      </c>
      <c r="E9" s="7">
        <f t="shared" si="0"/>
        <v>6</v>
      </c>
      <c r="F9" s="6">
        <f t="shared" si="0"/>
        <v>4</v>
      </c>
      <c r="G9" s="6">
        <f t="shared" si="0"/>
        <v>3</v>
      </c>
      <c r="H9" s="6">
        <f t="shared" si="0"/>
        <v>3</v>
      </c>
      <c r="I9" s="6">
        <f t="shared" si="0"/>
        <v>1</v>
      </c>
      <c r="J9" s="6">
        <f t="shared" si="0"/>
        <v>0</v>
      </c>
    </row>
    <row r="10" spans="1:11" ht="15.75" customHeight="1">
      <c r="B10" s="5" t="s">
        <v>142</v>
      </c>
      <c r="C10" s="6">
        <f>SUM(C4:C7)</f>
        <v>11</v>
      </c>
      <c r="D10" s="6">
        <f>C10-(SUM(C4:C7)/7)</f>
        <v>9.4285714285714288</v>
      </c>
      <c r="E10" s="7">
        <f>D10-(SUM(C4:C7)/7)</f>
        <v>7.8571428571428577</v>
      </c>
      <c r="F10" s="6">
        <f>E10-(SUM(C4:C7)/7)</f>
        <v>6.2857142857142865</v>
      </c>
      <c r="G10" s="6">
        <f>F10-(SUM(C4:C7)/7)</f>
        <v>4.7142857142857153</v>
      </c>
      <c r="H10" s="6">
        <f>G10-(SUM(C4:C7)/7)</f>
        <v>3.1428571428571441</v>
      </c>
      <c r="I10" s="6">
        <f>H10-(SUM(C4:C7)/7)</f>
        <v>1.5714285714285727</v>
      </c>
      <c r="J10" s="6">
        <f>I10-(SUM(C4:C7)/7)</f>
        <v>0</v>
      </c>
    </row>
    <row r="11" spans="1:11" ht="15.75" customHeight="1"/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spans="2:5" ht="15.75" customHeight="1"/>
    <row r="18" spans="2:5" ht="15.75" customHeight="1"/>
    <row r="19" spans="2:5" ht="15.75" customHeight="1">
      <c r="B19" s="40"/>
      <c r="C19" s="40"/>
      <c r="D19" s="40"/>
      <c r="E19" s="40"/>
    </row>
    <row r="20" spans="2:5" ht="15.75" customHeight="1">
      <c r="B20" s="40"/>
      <c r="C20" s="40"/>
      <c r="D20" s="40"/>
      <c r="E20" s="40"/>
    </row>
    <row r="21" spans="2:5" ht="15.75" customHeight="1">
      <c r="B21" s="40"/>
      <c r="C21" s="40"/>
      <c r="D21" s="40"/>
      <c r="E21" s="40"/>
    </row>
    <row r="22" spans="2:5" ht="15.75" customHeight="1">
      <c r="B22" s="40"/>
      <c r="C22" s="40"/>
      <c r="D22" s="40"/>
      <c r="E22" s="40"/>
    </row>
    <row r="23" spans="2:5" ht="15.75" customHeight="1">
      <c r="B23" s="40"/>
      <c r="C23" s="40"/>
      <c r="D23" s="40"/>
      <c r="E23" s="40"/>
    </row>
    <row r="24" spans="2:5" ht="15.75" customHeight="1">
      <c r="B24" s="40"/>
      <c r="C24" s="40"/>
      <c r="D24" s="40"/>
      <c r="E24" s="40"/>
    </row>
    <row r="25" spans="2:5" ht="15.75" customHeight="1">
      <c r="B25" s="40"/>
      <c r="C25" s="40"/>
      <c r="D25" s="40"/>
      <c r="E25" s="40"/>
    </row>
    <row r="26" spans="2:5" ht="15.75" customHeight="1">
      <c r="B26" s="40"/>
      <c r="C26" s="40"/>
      <c r="D26" s="40"/>
      <c r="E26" s="40"/>
    </row>
    <row r="27" spans="2:5" ht="15.75" customHeight="1">
      <c r="B27" s="40"/>
      <c r="C27" s="40"/>
      <c r="D27" s="40"/>
      <c r="E27" s="40"/>
    </row>
    <row r="28" spans="2:5" ht="15.75" customHeight="1">
      <c r="B28" s="40"/>
      <c r="C28" s="40"/>
      <c r="D28" s="40"/>
      <c r="E28" s="40"/>
    </row>
    <row r="29" spans="2:5" ht="15.75" customHeight="1">
      <c r="B29" s="40"/>
      <c r="C29" s="40"/>
      <c r="D29" s="40"/>
      <c r="E29" s="40"/>
    </row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2023-01-13T00:08:30Z</dcterms:created>
  <dcterms:modified xsi:type="dcterms:W3CDTF">2026-06-15T16:14:39Z</dcterms:modified>
  <cp:category/>
  <cp:contentStatus/>
</cp:coreProperties>
</file>
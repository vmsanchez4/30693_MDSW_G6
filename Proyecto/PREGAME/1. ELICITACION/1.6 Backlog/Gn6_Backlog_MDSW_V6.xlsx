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https://d.docs.live.net/CB7A4A1C592F50AE/Imágenes/Documentos/"/>
    </mc:Choice>
  </mc:AlternateContent>
  <xr:revisionPtr revIDLastSave="0" documentId="8_{6A888295-626C-4B78-A386-6F946FB35210}" xr6:coauthVersionLast="47" xr6:coauthVersionMax="47" xr10:uidLastSave="{00000000-0000-0000-0000-000000000000}"/>
  <bookViews>
    <workbookView xWindow="7200" yWindow="1170" windowWidth="21600" windowHeight="11295" firstSheet="4" activeTab="4" xr2:uid="{00000000-000D-0000-FFFF-FFFF00000000}"/>
  </bookViews>
  <sheets>
    <sheet name="Backlog" sheetId="1" r:id="rId1"/>
    <sheet name="sprint0" sheetId="6" r:id="rId2"/>
    <sheet name="sprint1" sheetId="2" r:id="rId3"/>
    <sheet name="sprint2" sheetId="4" r:id="rId4"/>
    <sheet name="burdonchart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" l="1"/>
  <c r="C156" i="3"/>
  <c r="D156" i="3" s="1"/>
  <c r="E156" i="3" s="1"/>
  <c r="F156" i="3" s="1"/>
  <c r="G156" i="3" s="1"/>
  <c r="H156" i="3" s="1"/>
  <c r="I156" i="3" s="1"/>
  <c r="J156" i="3" s="1"/>
  <c r="C155" i="3"/>
  <c r="D155" i="3" s="1"/>
  <c r="E155" i="3" s="1"/>
  <c r="F155" i="3" s="1"/>
  <c r="G155" i="3" s="1"/>
  <c r="H155" i="3" s="1"/>
  <c r="I155" i="3" s="1"/>
  <c r="J155" i="3" s="1"/>
  <c r="K149" i="3"/>
  <c r="K148" i="3"/>
  <c r="K147" i="3"/>
  <c r="K146" i="3"/>
  <c r="C129" i="3"/>
  <c r="D129" i="3" s="1"/>
  <c r="E129" i="3" s="1"/>
  <c r="F129" i="3" s="1"/>
  <c r="G129" i="3" s="1"/>
  <c r="H129" i="3" s="1"/>
  <c r="I129" i="3" s="1"/>
  <c r="J129" i="3" s="1"/>
  <c r="C128" i="3"/>
  <c r="D128" i="3" s="1"/>
  <c r="E128" i="3" s="1"/>
  <c r="F128" i="3" s="1"/>
  <c r="G128" i="3" s="1"/>
  <c r="H128" i="3" s="1"/>
  <c r="I128" i="3" s="1"/>
  <c r="J128" i="3" s="1"/>
  <c r="K125" i="3"/>
  <c r="K124" i="3"/>
  <c r="K123" i="3"/>
  <c r="K122" i="3"/>
  <c r="K121" i="3"/>
  <c r="K120" i="3"/>
  <c r="K119" i="3"/>
  <c r="C100" i="3"/>
  <c r="D100" i="3" s="1"/>
  <c r="E100" i="3" s="1"/>
  <c r="F100" i="3" s="1"/>
  <c r="G100" i="3" s="1"/>
  <c r="H100" i="3" s="1"/>
  <c r="I100" i="3" s="1"/>
  <c r="J100" i="3" s="1"/>
  <c r="C99" i="3"/>
  <c r="D99" i="3" s="1"/>
  <c r="E99" i="3" s="1"/>
  <c r="F99" i="3" s="1"/>
  <c r="G99" i="3" s="1"/>
  <c r="H99" i="3" s="1"/>
  <c r="I99" i="3" s="1"/>
  <c r="J99" i="3" s="1"/>
  <c r="K97" i="3"/>
  <c r="K96" i="3"/>
  <c r="K95" i="3"/>
  <c r="K94" i="3"/>
  <c r="K93" i="3"/>
  <c r="K92" i="3"/>
  <c r="K91" i="3"/>
  <c r="K90" i="3"/>
  <c r="D72" i="3"/>
  <c r="K63" i="3"/>
  <c r="J73" i="3"/>
  <c r="I73" i="3"/>
  <c r="H73" i="3"/>
  <c r="G73" i="3"/>
  <c r="F73" i="3"/>
  <c r="E73" i="3"/>
  <c r="D73" i="3"/>
  <c r="E72" i="3"/>
  <c r="F72" i="3" s="1"/>
  <c r="G72" i="3" s="1"/>
  <c r="H72" i="3" s="1"/>
  <c r="I72" i="3" s="1"/>
  <c r="J72" i="3" s="1"/>
  <c r="C73" i="3"/>
  <c r="C72" i="3"/>
  <c r="K70" i="3"/>
  <c r="K69" i="3"/>
  <c r="K68" i="3"/>
  <c r="K67" i="3"/>
  <c r="K66" i="3"/>
  <c r="K65" i="3"/>
  <c r="K64" i="3"/>
  <c r="C45" i="3"/>
  <c r="D45" i="3" s="1"/>
  <c r="E45" i="3" s="1"/>
  <c r="F45" i="3" s="1"/>
  <c r="G45" i="3" s="1"/>
  <c r="H45" i="3" s="1"/>
  <c r="I45" i="3" s="1"/>
  <c r="J45" i="3" s="1"/>
  <c r="C44" i="3"/>
  <c r="D44" i="3" s="1"/>
  <c r="E44" i="3" s="1"/>
  <c r="F44" i="3" s="1"/>
  <c r="G44" i="3" s="1"/>
  <c r="H44" i="3" s="1"/>
  <c r="I44" i="3" s="1"/>
  <c r="J44" i="3" s="1"/>
  <c r="K38" i="3"/>
  <c r="K37" i="3"/>
  <c r="K36" i="3"/>
  <c r="K35" i="3"/>
  <c r="K5" i="3"/>
  <c r="K6" i="3"/>
  <c r="K7" i="3"/>
  <c r="K8" i="3"/>
  <c r="K9" i="3"/>
  <c r="K4" i="3"/>
  <c r="J14" i="3"/>
  <c r="I14" i="3"/>
  <c r="H14" i="3"/>
  <c r="G14" i="3"/>
  <c r="F14" i="3"/>
  <c r="E14" i="3"/>
  <c r="E13" i="3"/>
  <c r="F13" i="3" s="1"/>
  <c r="G13" i="3" s="1"/>
  <c r="H13" i="3" s="1"/>
  <c r="I13" i="3" s="1"/>
  <c r="J13" i="3" s="1"/>
  <c r="D14" i="3"/>
  <c r="C14" i="3"/>
  <c r="C13" i="3"/>
</calcChain>
</file>

<file path=xl/sharedStrings.xml><?xml version="1.0" encoding="utf-8"?>
<sst xmlns="http://schemas.openxmlformats.org/spreadsheetml/2006/main" count="456" uniqueCount="149">
  <si>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</si>
  <si>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</si>
  <si>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</si>
  <si>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</si>
  <si>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</si>
  <si>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</si>
  <si>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</si>
  <si>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</si>
  <si>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</si>
  <si>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 con validaciones de usuario</t>
  </si>
  <si>
    <t>Administrador</t>
  </si>
  <si>
    <t>El programa  debe tener un inicio de sesión con usuario y contraseña</t>
  </si>
  <si>
    <t>Acceder al sistema de forma segura</t>
  </si>
  <si>
    <t>Alta</t>
  </si>
  <si>
    <t>Terminado</t>
  </si>
  <si>
    <t>REQ002</t>
  </si>
  <si>
    <t>Agregar productos al programa</t>
  </si>
  <si>
    <t>una forma de agregar los productos al catalogo</t>
  </si>
  <si>
    <t>Mantener todos los productos dentro del catalogo.</t>
  </si>
  <si>
    <t>REQ003</t>
  </si>
  <si>
    <t>Editar productos del programa</t>
  </si>
  <si>
    <t>cambiar el estado o informacion de un producto</t>
  </si>
  <si>
    <t>Actualizar o cambiar la informacion de un producto</t>
  </si>
  <si>
    <t>REQ004</t>
  </si>
  <si>
    <t>Eliminar producto del programa</t>
  </si>
  <si>
    <t>Eliminar los productos del catalogo</t>
  </si>
  <si>
    <t xml:space="preserve"> Quitar productos que ya no se encuentran en el catalogo o que por error se ingresaron</t>
  </si>
  <si>
    <t>REQ005</t>
  </si>
  <si>
    <t>Busqueda de Productos por el nombre</t>
  </si>
  <si>
    <t>Cliente</t>
  </si>
  <si>
    <t>Filtrar  un producto mediante su nombre</t>
  </si>
  <si>
    <t>Buscar rapidamente un producto o accesorio sin la necesidad de recorrer todo el catalogo</t>
  </si>
  <si>
    <t>REQ006</t>
  </si>
  <si>
    <t>Informacion extendida de los productos</t>
  </si>
  <si>
    <t>Un botón de "ver mas" que abra una ficha completa con la descripcion  del producto</t>
  </si>
  <si>
    <t>Conocer detalles tecnicos como compatibilidad de años, marca o material antes de venderlo.</t>
  </si>
  <si>
    <t>REQ007</t>
  </si>
  <si>
    <t>Control de provedores</t>
  </si>
  <si>
    <t>Un apartado adicional donde se pueda observar la informacion del provedor del producto</t>
  </si>
  <si>
    <t>Mantener un control sobre los provedores y los productos que ofrecen</t>
  </si>
  <si>
    <t>REQ008</t>
  </si>
  <si>
    <t>Control de stock</t>
  </si>
  <si>
    <t>Una alerta visual cuando el stock sea menor a 5</t>
  </si>
  <si>
    <t>Saber que productos estan por agotarse</t>
  </si>
  <si>
    <t>REQ009</t>
  </si>
  <si>
    <t>Informacion de estado de solicitud</t>
  </si>
  <si>
    <t>Un apartado adicional para saber que productos ya fueron solicitados</t>
  </si>
  <si>
    <t>Informar al cliente que productos ya se encuentran solicitados</t>
  </si>
  <si>
    <t>Necesito</t>
  </si>
  <si>
    <t>así podre...</t>
  </si>
  <si>
    <t>Prioridad</t>
  </si>
  <si>
    <t>Status</t>
  </si>
  <si>
    <t>Iniciar sesión con usuario y contraseña</t>
  </si>
  <si>
    <t>#intentos</t>
  </si>
  <si>
    <t>No iniciado</t>
  </si>
  <si>
    <t>Tareas</t>
  </si>
  <si>
    <t>Asignado</t>
  </si>
  <si>
    <t>Estimado</t>
  </si>
  <si>
    <t>REQ001-1</t>
  </si>
  <si>
    <t>El sistema debe mostrar un formulario de inicio de sesión.</t>
  </si>
  <si>
    <t>Joel Tapia</t>
  </si>
  <si>
    <t>REQ001-2</t>
  </si>
  <si>
    <t>El administrador debe ingresar un nombre de usuario.</t>
  </si>
  <si>
    <t>REQ001-3</t>
  </si>
  <si>
    <t>El administrador debe ingresar una contraseña y si esta incorrecto se bloqueara después de 3 intentos.</t>
  </si>
  <si>
    <t>REQ001-4</t>
  </si>
  <si>
    <t>El sistema debe validar que los campos no estén vacíos.</t>
  </si>
  <si>
    <t>REQ001-5</t>
  </si>
  <si>
    <t>El sistema debe verificar que el usuario exista dentro de un registro.</t>
  </si>
  <si>
    <t>REQ001-6</t>
  </si>
  <si>
    <t>Acceder a la gestión de los productos cuando la validación sea correcta.</t>
  </si>
  <si>
    <t>REQ002-1</t>
  </si>
  <si>
    <t>Agregar botón  "Agregar" dentro de la  gestion del administrador</t>
  </si>
  <si>
    <t>Juan Socasi</t>
  </si>
  <si>
    <t>REQ002-2</t>
  </si>
  <si>
    <t>Crear un formulario editable que solicite datos nesesarios para el administrador</t>
  </si>
  <si>
    <t>REQ002-3</t>
  </si>
  <si>
    <t>Agregar una nueva fila en la tabla con toda la informacion solicitada</t>
  </si>
  <si>
    <t>REQ002-4</t>
  </si>
  <si>
    <t>Verificar que el catalogo general tenga el producto agregado</t>
  </si>
  <si>
    <t>REQ003-1</t>
  </si>
  <si>
    <t>Agregar botón  Editar dentro de la  gestion del administrador</t>
  </si>
  <si>
    <t>Vicente Sanchez</t>
  </si>
  <si>
    <t>REQ003-2</t>
  </si>
  <si>
    <t>Crear una advertencia en caso de no seleccionar un producto para editar</t>
  </si>
  <si>
    <t>REQ003-3</t>
  </si>
  <si>
    <t>Abrir un formulario editable con la informacion del producto seleccionado</t>
  </si>
  <si>
    <t>REQ003-4</t>
  </si>
  <si>
    <t>Agregar dentro del formulario un boton que altere la informcion del producto dentro de la tabla producto</t>
  </si>
  <si>
    <t>REQ004-1</t>
  </si>
  <si>
    <t>Agregar botón  Eliminar dentro de la  gestion del administrador</t>
  </si>
  <si>
    <t>Jonathan Rodrigez</t>
  </si>
  <si>
    <t>REQ004-2</t>
  </si>
  <si>
    <t>Crear una advertencia en caso de no seleccionar un producto para eliminar</t>
  </si>
  <si>
    <t>REQ004-3</t>
  </si>
  <si>
    <t>Crear una confirmacion cada vez que se quiera eliminara un producto</t>
  </si>
  <si>
    <t>REQ004-4</t>
  </si>
  <si>
    <t>Verificar que el prodcuto ya no aparesca dentro de la tabla de productos</t>
  </si>
  <si>
    <t xml:space="preserve">#intentos de ingreso </t>
  </si>
  <si>
    <t>REQ005-1</t>
  </si>
  <si>
    <t>Crear visualmente la barra de búsqueda dentro del módulo de catálogo de productos, incluyendo el campo de texto</t>
  </si>
  <si>
    <t>REQ005-2</t>
  </si>
  <si>
    <t>Escribir la consulta con filtros por nombre y vincularla con la barra de búsqueda desde el código Java</t>
  </si>
  <si>
    <t>REQ005-3</t>
  </si>
  <si>
    <t>Configurar la interfaz para que cada vez que el usuario escriba en el buscador los resultados se actualicen automáticamente sin necesidad de recargar</t>
  </si>
  <si>
    <t>REQ005-4</t>
  </si>
  <si>
    <t>Probar el buscador escribiendo nombres de productos reales del catálogo y verificar que los resultados mostrados sean correctos</t>
  </si>
  <si>
    <t>REQ006-1</t>
  </si>
  <si>
    <t>Agregar botón "Ver más" en cada producto del catálogo.</t>
  </si>
  <si>
    <t>REQ006-2</t>
  </si>
  <si>
    <t>Crear ventana con detalles del producto.</t>
  </si>
  <si>
    <t>REQ006-3</t>
  </si>
  <si>
    <t>Vincular ficha a los datos del producto desde los registros</t>
  </si>
  <si>
    <t>REQ006-4</t>
  </si>
  <si>
    <t>Probar que la información mostrada coincide con el producto seleccionado.</t>
  </si>
  <si>
    <t>En Progreso</t>
  </si>
  <si>
    <t>REQ007-1</t>
  </si>
  <si>
    <t>Agregar un boton "Ver Proveedor" en la tabla de productos</t>
  </si>
  <si>
    <t>REQ007-2</t>
  </si>
  <si>
    <t>Crear una ventana emergente con los datos del proveedor</t>
  </si>
  <si>
    <t>REQ007-3</t>
  </si>
  <si>
    <t>Seleccionar un producto y verificar que se muestre correctamente la información de su proveedor</t>
  </si>
  <si>
    <t>REQ008-1</t>
  </si>
  <si>
    <t>Crear un panel visual de alertas en el modulo de inventario</t>
  </si>
  <si>
    <t>REQ008-2</t>
  </si>
  <si>
    <t>Mostrar en la interfaz el producto que tiene menos de 5 unidades</t>
  </si>
  <si>
    <t>REQ008-3</t>
  </si>
  <si>
    <t>Añadir un indicador de color para los productos con bajo stock</t>
  </si>
  <si>
    <t>REQ008-4</t>
  </si>
  <si>
    <t>Hacer pruebas para confirmar la notificacion</t>
  </si>
  <si>
    <t>REQ009-1</t>
  </si>
  <si>
    <t>Crear  la sección dentro  solicitudes donde el administrador pueda ver el historial</t>
  </si>
  <si>
    <t>Jonathan Rodriguez</t>
  </si>
  <si>
    <t>REQ009-2</t>
  </si>
  <si>
    <t>Mostrar el listado de los productos específicos que pertenecen a la solicitud seleccionada</t>
  </si>
  <si>
    <t>REQ009-3</t>
  </si>
  <si>
    <t>Incluir una etiqueta  al lado de cada producto que indique claramente que ya ha sido solicitado</t>
  </si>
  <si>
    <t>REQ009-4</t>
  </si>
  <si>
    <t>Probar el módulo seleccionando diferentes solicitudes para verificar que la lista de productos mostrada sea la correcta y real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</si>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</sst>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Inconsolata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/>
      <name val="Arial"/>
      <family val="2"/>
    </font>
    <font>
      <sz val="12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8" tint="-0.249977111117893"/>
      <name val="Arial"/>
      <family val="2"/>
      <scheme val="minor"/>
    </font>
    <font>
      <sz val="10"/>
      <color rgb="FF4472C4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292A2E"/>
      <name val="Segoe UI"/>
      <family val="2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4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3" borderId="1" xfId="0" applyFont="1" applyFill="1" applyBorder="1"/>
    <xf numFmtId="0" fontId="2" fillId="0" borderId="0" xfId="0" applyFont="1"/>
    <xf numFmtId="0" fontId="3" fillId="4" borderId="2" xfId="0" applyFont="1" applyFill="1" applyBorder="1"/>
    <xf numFmtId="0" fontId="3" fillId="0" borderId="2" xfId="0" applyFont="1" applyBorder="1"/>
    <xf numFmtId="0" fontId="4" fillId="2" borderId="2" xfId="0" applyFont="1" applyFill="1" applyBorder="1"/>
    <xf numFmtId="0" fontId="2" fillId="0" borderId="3" xfId="0" applyFont="1" applyBorder="1" applyAlignment="1">
      <alignment horizontal="center"/>
    </xf>
    <xf numFmtId="0" fontId="5" fillId="3" borderId="1" xfId="0" applyFont="1" applyFill="1" applyBorder="1"/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1" xfId="0" applyFont="1" applyBorder="1"/>
    <xf numFmtId="0" fontId="7" fillId="0" borderId="0" xfId="0" applyFont="1" applyAlignment="1">
      <alignment horizontal="left" vertical="top"/>
    </xf>
    <xf numFmtId="0" fontId="0" fillId="6" borderId="0" xfId="0" applyFill="1"/>
    <xf numFmtId="0" fontId="0" fillId="5" borderId="0" xfId="0" applyFill="1"/>
    <xf numFmtId="0" fontId="7" fillId="0" borderId="3" xfId="0" applyFont="1" applyBorder="1"/>
    <xf numFmtId="0" fontId="7" fillId="0" borderId="3" xfId="0" applyFont="1" applyBorder="1" applyAlignment="1">
      <alignment wrapText="1"/>
    </xf>
    <xf numFmtId="0" fontId="0" fillId="7" borderId="0" xfId="0" applyFill="1"/>
    <xf numFmtId="0" fontId="10" fillId="0" borderId="0" xfId="0" applyFont="1"/>
    <xf numFmtId="0" fontId="5" fillId="7" borderId="1" xfId="0" applyFont="1" applyFill="1" applyBorder="1" applyAlignment="1">
      <alignment horizontal="left" wrapText="1"/>
    </xf>
    <xf numFmtId="0" fontId="0" fillId="0" borderId="1" xfId="0" applyBorder="1"/>
    <xf numFmtId="0" fontId="0" fillId="7" borderId="0" xfId="0" applyFill="1" applyAlignment="1">
      <alignment wrapText="1"/>
    </xf>
    <xf numFmtId="0" fontId="11" fillId="0" borderId="0" xfId="0" applyFont="1"/>
    <xf numFmtId="0" fontId="7" fillId="0" borderId="3" xfId="0" applyFont="1" applyBorder="1" applyAlignment="1">
      <alignment horizontal="left" wrapText="1"/>
    </xf>
    <xf numFmtId="0" fontId="12" fillId="0" borderId="0" xfId="0" applyFont="1"/>
    <xf numFmtId="0" fontId="12" fillId="0" borderId="1" xfId="0" applyFont="1" applyBorder="1"/>
    <xf numFmtId="0" fontId="13" fillId="7" borderId="0" xfId="0" applyFont="1" applyFill="1" applyAlignment="1">
      <alignment wrapText="1"/>
    </xf>
    <xf numFmtId="0" fontId="13" fillId="7" borderId="0" xfId="0" applyFont="1" applyFill="1"/>
    <xf numFmtId="0" fontId="13" fillId="0" borderId="0" xfId="0" applyFont="1"/>
    <xf numFmtId="0" fontId="14" fillId="0" borderId="0" xfId="0" applyFont="1"/>
    <xf numFmtId="0" fontId="7" fillId="0" borderId="3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5" fillId="3" borderId="0" xfId="0" applyFont="1" applyFill="1"/>
    <xf numFmtId="0" fontId="7" fillId="0" borderId="3" xfId="0" applyFont="1" applyBorder="1" applyAlignment="1">
      <alignment vertical="center" wrapText="1"/>
    </xf>
    <xf numFmtId="0" fontId="3" fillId="3" borderId="0" xfId="0" applyFont="1" applyFill="1" applyAlignment="1">
      <alignment wrapText="1"/>
    </xf>
    <xf numFmtId="0" fontId="5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10" fillId="0" borderId="3" xfId="0" applyFont="1" applyBorder="1"/>
  </cellXfs>
  <cellStyles count="2">
    <cellStyle name="Normal" xfId="0" builtinId="0"/>
    <cellStyle name="Normal 2" xfId="1" xr:uid="{E7712DCA-B5C0-4386-B0FB-25F6A2059643}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burdonchart!$B$13:$J$13</c15:sqref>
                  </c15:fullRef>
                </c:ext>
              </c:extLst>
              <c:f>burdonchart!$B$13:$H$13</c:f>
              <c:numCache>
                <c:formatCode>General</c:formatCode>
                <c:ptCount val="7"/>
                <c:pt idx="0">
                  <c:v>0</c:v>
                </c:pt>
                <c:pt idx="1">
                  <c:v>50</c:v>
                </c:pt>
                <c:pt idx="2">
                  <c:v>30</c:v>
                </c:pt>
                <c:pt idx="3">
                  <c:v>14</c:v>
                </c:pt>
                <c:pt idx="4">
                  <c:v>5</c:v>
                </c:pt>
                <c:pt idx="5">
                  <c:v>-2</c:v>
                </c:pt>
                <c:pt idx="6">
                  <c:v>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9-4C3D-AE3A-D603C95EF801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burdonchart!$B$14:$J$14</c15:sqref>
                  </c15:fullRef>
                </c:ext>
              </c:extLst>
              <c:f>burdonchart!$B$14:$H$14</c:f>
              <c:numCache>
                <c:formatCode>General</c:formatCode>
                <c:ptCount val="7"/>
                <c:pt idx="0">
                  <c:v>0</c:v>
                </c:pt>
                <c:pt idx="1">
                  <c:v>50</c:v>
                </c:pt>
                <c:pt idx="2">
                  <c:v>42.857142857142854</c:v>
                </c:pt>
                <c:pt idx="3">
                  <c:v>35.714285714285708</c:v>
                </c:pt>
                <c:pt idx="4">
                  <c:v>28.571428571428566</c:v>
                </c:pt>
                <c:pt idx="5">
                  <c:v>21.428571428571423</c:v>
                </c:pt>
                <c:pt idx="6">
                  <c:v>14.285714285714281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9-4C3D-AE3A-D603C95EF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burdonchart!$B$44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burdonchart!$C$44:$J$44</c:f>
              <c:numCache>
                <c:formatCode>General</c:formatCode>
                <c:ptCount val="8"/>
                <c:pt idx="0">
                  <c:v>24</c:v>
                </c:pt>
                <c:pt idx="1">
                  <c:v>16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2</c:v>
                </c:pt>
                <c:pt idx="6">
                  <c:v>-2</c:v>
                </c:pt>
                <c:pt idx="7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15-446D-84EC-582B3DAD61F5}"/>
            </c:ext>
          </c:extLst>
        </c:ser>
        <c:ser>
          <c:idx val="1"/>
          <c:order val="1"/>
          <c:tx>
            <c:strRef>
              <c:f>burdonchart!$B$45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burdonchart!$C$45:$J$45</c:f>
              <c:numCache>
                <c:formatCode>General</c:formatCode>
                <c:ptCount val="8"/>
                <c:pt idx="0">
                  <c:v>24</c:v>
                </c:pt>
                <c:pt idx="1">
                  <c:v>20.571428571428573</c:v>
                </c:pt>
                <c:pt idx="2">
                  <c:v>17.142857142857146</c:v>
                </c:pt>
                <c:pt idx="3">
                  <c:v>13.714285714285717</c:v>
                </c:pt>
                <c:pt idx="4">
                  <c:v>10.285714285714288</c:v>
                </c:pt>
                <c:pt idx="5">
                  <c:v>6.8571428571428594</c:v>
                </c:pt>
                <c:pt idx="6">
                  <c:v>3.428571428571431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15-446D-84EC-582B3DAD6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burdonchart!$B$72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burdonchart!$C$72:$J$72</c:f>
              <c:numCache>
                <c:formatCode>General</c:formatCode>
                <c:ptCount val="8"/>
                <c:pt idx="0">
                  <c:v>48</c:v>
                </c:pt>
                <c:pt idx="1">
                  <c:v>40</c:v>
                </c:pt>
                <c:pt idx="2">
                  <c:v>36</c:v>
                </c:pt>
                <c:pt idx="3">
                  <c:v>32</c:v>
                </c:pt>
                <c:pt idx="4">
                  <c:v>25</c:v>
                </c:pt>
                <c:pt idx="5">
                  <c:v>18</c:v>
                </c:pt>
                <c:pt idx="6">
                  <c:v>12</c:v>
                </c:pt>
                <c:pt idx="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88-4EBF-8F00-A1BD838D6FBD}"/>
            </c:ext>
          </c:extLst>
        </c:ser>
        <c:ser>
          <c:idx val="1"/>
          <c:order val="1"/>
          <c:tx>
            <c:strRef>
              <c:f>burdonchart!$B$73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burdonchart!$C$73:$J$73</c:f>
              <c:numCache>
                <c:formatCode>General</c:formatCode>
                <c:ptCount val="8"/>
                <c:pt idx="0">
                  <c:v>48</c:v>
                </c:pt>
                <c:pt idx="1">
                  <c:v>41.142857142857146</c:v>
                </c:pt>
                <c:pt idx="2">
                  <c:v>34.285714285714292</c:v>
                </c:pt>
                <c:pt idx="3">
                  <c:v>27.428571428571434</c:v>
                </c:pt>
                <c:pt idx="4">
                  <c:v>20.571428571428577</c:v>
                </c:pt>
                <c:pt idx="5">
                  <c:v>13.714285714285719</c:v>
                </c:pt>
                <c:pt idx="6">
                  <c:v>6.8571428571428621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88-4EBF-8F00-A1BD838D6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burdonchart!$B$99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burdonchart!$C$99:$J$99</c:f>
              <c:numCache>
                <c:formatCode>General</c:formatCode>
                <c:ptCount val="8"/>
                <c:pt idx="0">
                  <c:v>52</c:v>
                </c:pt>
                <c:pt idx="1">
                  <c:v>44</c:v>
                </c:pt>
                <c:pt idx="2">
                  <c:v>37</c:v>
                </c:pt>
                <c:pt idx="3">
                  <c:v>30</c:v>
                </c:pt>
                <c:pt idx="4">
                  <c:v>19</c:v>
                </c:pt>
                <c:pt idx="5">
                  <c:v>11</c:v>
                </c:pt>
                <c:pt idx="6">
                  <c:v>5</c:v>
                </c:pt>
                <c:pt idx="7">
                  <c:v>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A-4C68-B3C8-0BD3B71DEAE0}"/>
            </c:ext>
          </c:extLst>
        </c:ser>
        <c:ser>
          <c:idx val="1"/>
          <c:order val="1"/>
          <c:tx>
            <c:strRef>
              <c:f>burdonchart!$B$100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burdonchart!$C$100:$J$100</c:f>
              <c:numCache>
                <c:formatCode>General</c:formatCode>
                <c:ptCount val="8"/>
                <c:pt idx="0">
                  <c:v>52</c:v>
                </c:pt>
                <c:pt idx="1">
                  <c:v>44.571428571428569</c:v>
                </c:pt>
                <c:pt idx="2">
                  <c:v>37.142857142857139</c:v>
                </c:pt>
                <c:pt idx="3">
                  <c:v>29.714285714285708</c:v>
                </c:pt>
                <c:pt idx="4">
                  <c:v>22.285714285714278</c:v>
                </c:pt>
                <c:pt idx="5">
                  <c:v>14.857142857142849</c:v>
                </c:pt>
                <c:pt idx="6">
                  <c:v>7.4285714285714199</c:v>
                </c:pt>
                <c:pt idx="7">
                  <c:v>-8.8817841970012523E-15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9A-4C68-B3C8-0BD3B71DE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burdonchart!$B$128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burdonchart!$C$128:$J$128</c:f>
              <c:numCache>
                <c:formatCode>General</c:formatCode>
                <c:ptCount val="8"/>
                <c:pt idx="0">
                  <c:v>56</c:v>
                </c:pt>
                <c:pt idx="1">
                  <c:v>48</c:v>
                </c:pt>
                <c:pt idx="2">
                  <c:v>41</c:v>
                </c:pt>
                <c:pt idx="3">
                  <c:v>34</c:v>
                </c:pt>
                <c:pt idx="4">
                  <c:v>26</c:v>
                </c:pt>
                <c:pt idx="5">
                  <c:v>17</c:v>
                </c:pt>
                <c:pt idx="6">
                  <c:v>9</c:v>
                </c:pt>
                <c:pt idx="7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A-46F0-9175-960C6EEE7F53}"/>
            </c:ext>
          </c:extLst>
        </c:ser>
        <c:ser>
          <c:idx val="1"/>
          <c:order val="1"/>
          <c:tx>
            <c:strRef>
              <c:f>burdonchart!$B$129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burdonchart!$C$129:$J$129</c:f>
              <c:numCache>
                <c:formatCode>General</c:formatCode>
                <c:ptCount val="8"/>
                <c:pt idx="0">
                  <c:v>56</c:v>
                </c:pt>
                <c:pt idx="1">
                  <c:v>48</c:v>
                </c:pt>
                <c:pt idx="2">
                  <c:v>40</c:v>
                </c:pt>
                <c:pt idx="3">
                  <c:v>32</c:v>
                </c:pt>
                <c:pt idx="4">
                  <c:v>24</c:v>
                </c:pt>
                <c:pt idx="5">
                  <c:v>16</c:v>
                </c:pt>
                <c:pt idx="6">
                  <c:v>8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DA-46F0-9175-960C6EEE7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burdonchart!$B$155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burdonchart!$C$155:$J$155</c:f>
              <c:numCache>
                <c:formatCode>General</c:formatCode>
                <c:ptCount val="8"/>
                <c:pt idx="0">
                  <c:v>32</c:v>
                </c:pt>
                <c:pt idx="1">
                  <c:v>28</c:v>
                </c:pt>
                <c:pt idx="2">
                  <c:v>24</c:v>
                </c:pt>
                <c:pt idx="3">
                  <c:v>20</c:v>
                </c:pt>
                <c:pt idx="4">
                  <c:v>16</c:v>
                </c:pt>
                <c:pt idx="5">
                  <c:v>12</c:v>
                </c:pt>
                <c:pt idx="6">
                  <c:v>8</c:v>
                </c:pt>
                <c:pt idx="7">
                  <c:v>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1D-47B5-A2B0-7D71B0AF4E4B}"/>
            </c:ext>
          </c:extLst>
        </c:ser>
        <c:ser>
          <c:idx val="1"/>
          <c:order val="1"/>
          <c:tx>
            <c:strRef>
              <c:f>burdonchart!$B$156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burdonchart!$C$156:$J$156</c:f>
              <c:numCache>
                <c:formatCode>General</c:formatCode>
                <c:ptCount val="8"/>
                <c:pt idx="0">
                  <c:v>32</c:v>
                </c:pt>
                <c:pt idx="1">
                  <c:v>27.428571428571431</c:v>
                </c:pt>
                <c:pt idx="2">
                  <c:v>22.857142857142861</c:v>
                </c:pt>
                <c:pt idx="3">
                  <c:v>18.285714285714292</c:v>
                </c:pt>
                <c:pt idx="4">
                  <c:v>13.714285714285721</c:v>
                </c:pt>
                <c:pt idx="5">
                  <c:v>9.1428571428571495</c:v>
                </c:pt>
                <c:pt idx="6">
                  <c:v>4.5714285714285783</c:v>
                </c:pt>
                <c:pt idx="7">
                  <c:v>7.1054273576010019E-15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1D-47B5-A2B0-7D71B0AF4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662686</xdr:colOff>
      <xdr:row>1</xdr:row>
      <xdr:rowOff>7885</xdr:rowOff>
    </xdr:from>
    <xdr:ext cx="8056558" cy="493769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662686</xdr:colOff>
      <xdr:row>32</xdr:row>
      <xdr:rowOff>7885</xdr:rowOff>
    </xdr:from>
    <xdr:ext cx="8056558" cy="4937695"/>
    <xdr:graphicFrame macro="">
      <xdr:nvGraphicFramePr>
        <xdr:cNvPr id="3" name="Chart 1" title="Gráfico">
          <a:extLst>
            <a:ext uri="{FF2B5EF4-FFF2-40B4-BE49-F238E27FC236}">
              <a16:creationId xmlns:a16="http://schemas.microsoft.com/office/drawing/2014/main" id="{AB4064B0-71B5-49BD-BC30-7D0CFD479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662686</xdr:colOff>
      <xdr:row>60</xdr:row>
      <xdr:rowOff>7885</xdr:rowOff>
    </xdr:from>
    <xdr:ext cx="8056558" cy="4937695"/>
    <xdr:graphicFrame macro="">
      <xdr:nvGraphicFramePr>
        <xdr:cNvPr id="4" name="Chart 1" title="Gráfico">
          <a:extLst>
            <a:ext uri="{FF2B5EF4-FFF2-40B4-BE49-F238E27FC236}">
              <a16:creationId xmlns:a16="http://schemas.microsoft.com/office/drawing/2014/main" id="{BDDC8867-1A1A-40B8-9425-9F98FA131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662686</xdr:colOff>
      <xdr:row>87</xdr:row>
      <xdr:rowOff>7885</xdr:rowOff>
    </xdr:from>
    <xdr:ext cx="8056558" cy="4937695"/>
    <xdr:graphicFrame macro="">
      <xdr:nvGraphicFramePr>
        <xdr:cNvPr id="5" name="Chart 1" title="Gráfico">
          <a:extLst>
            <a:ext uri="{FF2B5EF4-FFF2-40B4-BE49-F238E27FC236}">
              <a16:creationId xmlns:a16="http://schemas.microsoft.com/office/drawing/2014/main" id="{A6D2034D-3DE2-41C5-919E-715AC8257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11</xdr:col>
      <xdr:colOff>662686</xdr:colOff>
      <xdr:row>116</xdr:row>
      <xdr:rowOff>7885</xdr:rowOff>
    </xdr:from>
    <xdr:ext cx="8056558" cy="4937695"/>
    <xdr:graphicFrame macro="">
      <xdr:nvGraphicFramePr>
        <xdr:cNvPr id="6" name="Chart 1" title="Gráfico">
          <a:extLst>
            <a:ext uri="{FF2B5EF4-FFF2-40B4-BE49-F238E27FC236}">
              <a16:creationId xmlns:a16="http://schemas.microsoft.com/office/drawing/2014/main" id="{D74AF672-AC10-49B0-A58F-D1B8E3E19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11</xdr:col>
      <xdr:colOff>662686</xdr:colOff>
      <xdr:row>143</xdr:row>
      <xdr:rowOff>7885</xdr:rowOff>
    </xdr:from>
    <xdr:ext cx="8056558" cy="4937695"/>
    <xdr:graphicFrame macro="">
      <xdr:nvGraphicFramePr>
        <xdr:cNvPr id="7" name="Chart 1" title="Gráfico">
          <a:extLst>
            <a:ext uri="{FF2B5EF4-FFF2-40B4-BE49-F238E27FC236}">
              <a16:creationId xmlns:a16="http://schemas.microsoft.com/office/drawing/2014/main" id="{126BCE94-D7FD-4079-943C-CA06EE9C4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6"/>
  <sheetViews>
    <sheetView zoomScale="77" zoomScaleNormal="145" workbookViewId="0">
      <selection activeCell="E13" sqref="E13"/>
    </sheetView>
  </sheetViews>
  <sheetFormatPr defaultColWidth="12.5703125" defaultRowHeight="15" customHeight="1"/>
  <cols>
    <col min="1" max="1" width="12.5703125" customWidth="1"/>
    <col min="2" max="2" width="44.7109375" bestFit="1" customWidth="1"/>
    <col min="3" max="3" width="16.85546875" customWidth="1"/>
    <col min="4" max="4" width="44.140625" customWidth="1"/>
    <col min="5" max="5" width="54.85546875" bestFit="1" customWidth="1"/>
    <col min="6" max="6" width="34.42578125" customWidth="1"/>
  </cols>
  <sheetData>
    <row r="1" spans="1:8" ht="15.7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25.5">
      <c r="A2" s="16" t="s">
        <v>8</v>
      </c>
      <c r="B2" s="16" t="s">
        <v>9</v>
      </c>
      <c r="C2" s="16" t="s">
        <v>10</v>
      </c>
      <c r="D2" s="31" t="s">
        <v>11</v>
      </c>
      <c r="E2" s="17" t="s">
        <v>12</v>
      </c>
      <c r="F2" s="16"/>
      <c r="G2" s="16" t="s">
        <v>13</v>
      </c>
      <c r="H2" s="16" t="s">
        <v>14</v>
      </c>
    </row>
    <row r="3" spans="1:8" ht="12.75">
      <c r="A3" s="16" t="s">
        <v>15</v>
      </c>
      <c r="B3" s="17" t="s">
        <v>16</v>
      </c>
      <c r="C3" s="16" t="s">
        <v>10</v>
      </c>
      <c r="D3" s="17" t="s">
        <v>17</v>
      </c>
      <c r="E3" s="17" t="s">
        <v>18</v>
      </c>
      <c r="F3" s="17"/>
      <c r="G3" s="16" t="s">
        <v>13</v>
      </c>
      <c r="H3" s="16" t="s">
        <v>14</v>
      </c>
    </row>
    <row r="4" spans="1:8" ht="12.75">
      <c r="A4" s="16" t="s">
        <v>19</v>
      </c>
      <c r="B4" s="16" t="s">
        <v>20</v>
      </c>
      <c r="C4" s="16" t="s">
        <v>10</v>
      </c>
      <c r="D4" s="17" t="s">
        <v>21</v>
      </c>
      <c r="E4" s="17" t="s">
        <v>22</v>
      </c>
      <c r="F4" s="17"/>
      <c r="G4" s="16" t="s">
        <v>13</v>
      </c>
      <c r="H4" s="16" t="s">
        <v>14</v>
      </c>
    </row>
    <row r="5" spans="1:8" ht="25.5">
      <c r="A5" s="16" t="s">
        <v>23</v>
      </c>
      <c r="B5" s="16" t="s">
        <v>24</v>
      </c>
      <c r="C5" s="16" t="s">
        <v>10</v>
      </c>
      <c r="D5" s="24" t="s">
        <v>25</v>
      </c>
      <c r="E5" s="17" t="s">
        <v>26</v>
      </c>
      <c r="F5" s="17"/>
      <c r="G5" s="16" t="s">
        <v>13</v>
      </c>
      <c r="H5" s="16" t="s">
        <v>14</v>
      </c>
    </row>
    <row r="6" spans="1:8" ht="25.5">
      <c r="A6" s="16" t="s">
        <v>27</v>
      </c>
      <c r="B6" s="16" t="s">
        <v>28</v>
      </c>
      <c r="C6" s="16" t="s">
        <v>29</v>
      </c>
      <c r="D6" s="17" t="s">
        <v>30</v>
      </c>
      <c r="E6" s="36" t="s">
        <v>31</v>
      </c>
      <c r="F6" s="17"/>
      <c r="G6" s="16" t="s">
        <v>13</v>
      </c>
      <c r="H6" s="16" t="s">
        <v>14</v>
      </c>
    </row>
    <row r="7" spans="1:8" ht="25.5">
      <c r="A7" s="16" t="s">
        <v>32</v>
      </c>
      <c r="B7" s="16" t="s">
        <v>33</v>
      </c>
      <c r="C7" s="16" t="s">
        <v>10</v>
      </c>
      <c r="D7" s="17" t="s">
        <v>34</v>
      </c>
      <c r="E7" s="17" t="s">
        <v>35</v>
      </c>
      <c r="F7" s="17"/>
      <c r="G7" s="16" t="s">
        <v>13</v>
      </c>
      <c r="H7" s="16" t="s">
        <v>14</v>
      </c>
    </row>
    <row r="8" spans="1:8" ht="25.5">
      <c r="A8" s="16" t="s">
        <v>36</v>
      </c>
      <c r="B8" s="16" t="s">
        <v>37</v>
      </c>
      <c r="C8" s="16" t="s">
        <v>10</v>
      </c>
      <c r="D8" s="17" t="s">
        <v>38</v>
      </c>
      <c r="E8" s="17" t="s">
        <v>39</v>
      </c>
      <c r="F8" s="17"/>
      <c r="G8" s="16" t="s">
        <v>13</v>
      </c>
      <c r="H8" s="16" t="s">
        <v>14</v>
      </c>
    </row>
    <row r="9" spans="1:8" ht="15.75" customHeight="1">
      <c r="A9" s="16" t="s">
        <v>40</v>
      </c>
      <c r="B9" s="16" t="s">
        <v>41</v>
      </c>
      <c r="C9" s="16" t="s">
        <v>10</v>
      </c>
      <c r="D9" s="16" t="s">
        <v>42</v>
      </c>
      <c r="E9" s="16" t="s">
        <v>43</v>
      </c>
      <c r="F9" s="16"/>
      <c r="G9" s="16" t="s">
        <v>13</v>
      </c>
      <c r="H9" s="16" t="s">
        <v>14</v>
      </c>
    </row>
    <row r="10" spans="1:8" ht="15.75" customHeight="1">
      <c r="A10" s="42" t="s">
        <v>44</v>
      </c>
      <c r="B10" s="42" t="s">
        <v>45</v>
      </c>
      <c r="C10" s="42" t="s">
        <v>10</v>
      </c>
      <c r="D10" s="42" t="s">
        <v>46</v>
      </c>
      <c r="E10" s="42" t="s">
        <v>47</v>
      </c>
      <c r="F10" s="42"/>
      <c r="G10" s="42" t="s">
        <v>13</v>
      </c>
      <c r="H10" s="42" t="s">
        <v>14</v>
      </c>
    </row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honeticPr fontId="9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257A-BDED-4858-9D35-EA701F1E7CC7}">
  <sheetPr>
    <outlinePr summaryBelow="0" summaryRight="0"/>
  </sheetPr>
  <dimension ref="A1:J962"/>
  <sheetViews>
    <sheetView topLeftCell="A29" zoomScale="85" zoomScaleNormal="100" workbookViewId="0">
      <selection activeCell="C62" sqref="C62"/>
    </sheetView>
  </sheetViews>
  <sheetFormatPr defaultColWidth="12.5703125" defaultRowHeight="15" customHeight="1"/>
  <cols>
    <col min="1" max="2" width="12.5703125" customWidth="1"/>
    <col min="3" max="3" width="106.7109375" bestFit="1" customWidth="1"/>
    <col min="4" max="4" width="20.42578125" bestFit="1" customWidth="1"/>
    <col min="5" max="5" width="43.5703125" bestFit="1" customWidth="1"/>
    <col min="6" max="6" width="56.140625" customWidth="1"/>
    <col min="7" max="7" width="29" bestFit="1" customWidth="1"/>
  </cols>
  <sheetData>
    <row r="1" spans="2:9" ht="15.75" customHeight="1"/>
    <row r="2" spans="2:9" ht="15.75" customHeight="1"/>
    <row r="3" spans="2:9" ht="15.75" customHeight="1">
      <c r="B3" s="1" t="s">
        <v>0</v>
      </c>
      <c r="C3" s="1" t="s">
        <v>1</v>
      </c>
      <c r="D3" s="1" t="s">
        <v>2</v>
      </c>
      <c r="E3" s="1" t="s">
        <v>48</v>
      </c>
      <c r="F3" s="1" t="s">
        <v>49</v>
      </c>
      <c r="G3" s="1" t="s">
        <v>5</v>
      </c>
      <c r="H3" s="1" t="s">
        <v>50</v>
      </c>
      <c r="I3" s="1" t="s">
        <v>51</v>
      </c>
    </row>
    <row r="4" spans="2:9" ht="15.75" customHeight="1">
      <c r="B4" s="3" t="s">
        <v>8</v>
      </c>
      <c r="C4" s="3" t="s">
        <v>9</v>
      </c>
      <c r="D4" s="3" t="s">
        <v>10</v>
      </c>
      <c r="E4" s="9" t="s">
        <v>52</v>
      </c>
      <c r="F4" s="3" t="s">
        <v>12</v>
      </c>
      <c r="G4" s="3" t="s">
        <v>53</v>
      </c>
      <c r="H4" s="3" t="s">
        <v>13</v>
      </c>
      <c r="I4" s="3" t="s">
        <v>54</v>
      </c>
    </row>
    <row r="5" spans="2:9" ht="15.75" customHeight="1">
      <c r="B5" s="2"/>
      <c r="C5" s="4" t="s">
        <v>55</v>
      </c>
      <c r="D5" s="2"/>
      <c r="E5" s="2"/>
      <c r="F5" s="2"/>
      <c r="G5" s="4" t="s">
        <v>56</v>
      </c>
      <c r="H5" s="2"/>
      <c r="I5" s="4" t="s">
        <v>57</v>
      </c>
    </row>
    <row r="6" spans="2:9" ht="15.75" customHeight="1">
      <c r="B6" s="11" t="s">
        <v>58</v>
      </c>
      <c r="C6" s="32" t="s">
        <v>59</v>
      </c>
      <c r="D6" s="33"/>
      <c r="E6" s="33"/>
      <c r="F6" s="33"/>
      <c r="G6" t="s">
        <v>60</v>
      </c>
      <c r="H6" s="2"/>
      <c r="I6" s="10">
        <v>4</v>
      </c>
    </row>
    <row r="7" spans="2:9" ht="15.75" customHeight="1">
      <c r="B7" s="11" t="s">
        <v>61</v>
      </c>
      <c r="C7" s="32" t="s">
        <v>62</v>
      </c>
      <c r="D7" s="33"/>
      <c r="E7" s="33"/>
      <c r="F7" s="33"/>
      <c r="G7" t="s">
        <v>60</v>
      </c>
      <c r="H7" s="2"/>
      <c r="I7" s="10">
        <v>1</v>
      </c>
    </row>
    <row r="8" spans="2:9" ht="15.75" customHeight="1">
      <c r="B8" s="11" t="s">
        <v>63</v>
      </c>
      <c r="C8" s="32" t="s">
        <v>64</v>
      </c>
      <c r="D8" s="33"/>
      <c r="E8" s="33"/>
      <c r="F8" s="33"/>
      <c r="G8" t="s">
        <v>60</v>
      </c>
      <c r="H8" s="2"/>
      <c r="I8" s="11">
        <v>2</v>
      </c>
    </row>
    <row r="9" spans="2:9" ht="15.75" customHeight="1">
      <c r="B9" s="13" t="s">
        <v>65</v>
      </c>
      <c r="C9" s="2" t="s">
        <v>66</v>
      </c>
      <c r="D9" s="2"/>
      <c r="E9" s="2"/>
      <c r="F9" s="2"/>
      <c r="G9" t="s">
        <v>60</v>
      </c>
      <c r="H9" s="1"/>
      <c r="I9" s="10">
        <v>4</v>
      </c>
    </row>
    <row r="10" spans="2:9" ht="15.75" customHeight="1">
      <c r="B10" s="23" t="s">
        <v>67</v>
      </c>
      <c r="C10" s="2" t="s">
        <v>68</v>
      </c>
      <c r="D10" s="2"/>
      <c r="E10" s="2"/>
      <c r="F10" s="2"/>
      <c r="G10" t="s">
        <v>60</v>
      </c>
      <c r="H10" s="1"/>
      <c r="I10" s="10">
        <v>4</v>
      </c>
    </row>
    <row r="11" spans="2:9" ht="15.75" customHeight="1">
      <c r="B11" s="23" t="s">
        <v>69</v>
      </c>
      <c r="C11" t="s">
        <v>70</v>
      </c>
      <c r="G11" t="s">
        <v>60</v>
      </c>
      <c r="H11" s="12"/>
      <c r="I11" s="12">
        <v>1</v>
      </c>
    </row>
    <row r="12" spans="2:9" ht="15.75" customHeight="1">
      <c r="B12" s="2"/>
      <c r="C12" s="4"/>
      <c r="D12" s="2"/>
      <c r="E12" s="2"/>
      <c r="F12" s="2"/>
      <c r="G12" s="4"/>
      <c r="H12" s="2"/>
      <c r="I12" s="4"/>
    </row>
    <row r="13" spans="2:9" s="25" customFormat="1" ht="15.75" customHeight="1">
      <c r="B13" s="25" t="s">
        <v>0</v>
      </c>
      <c r="C13" s="25" t="s">
        <v>1</v>
      </c>
      <c r="D13" s="25" t="s">
        <v>2</v>
      </c>
      <c r="E13" s="25" t="s">
        <v>48</v>
      </c>
      <c r="F13" s="25" t="s">
        <v>49</v>
      </c>
      <c r="G13" s="25" t="s">
        <v>5</v>
      </c>
      <c r="H13" s="25" t="s">
        <v>50</v>
      </c>
      <c r="I13" s="25" t="s">
        <v>51</v>
      </c>
    </row>
    <row r="14" spans="2:9" ht="12.75">
      <c r="B14" s="18" t="s">
        <v>15</v>
      </c>
      <c r="C14" s="27" t="s">
        <v>16</v>
      </c>
      <c r="D14" s="28" t="s">
        <v>10</v>
      </c>
      <c r="E14" s="22" t="s">
        <v>17</v>
      </c>
      <c r="F14" s="27" t="s">
        <v>18</v>
      </c>
      <c r="G14" s="18" t="s">
        <v>53</v>
      </c>
      <c r="H14" s="18" t="s">
        <v>13</v>
      </c>
      <c r="I14" s="18" t="s">
        <v>54</v>
      </c>
    </row>
    <row r="15" spans="2:9" s="25" customFormat="1" ht="15.75" customHeight="1">
      <c r="C15" s="25" t="s">
        <v>55</v>
      </c>
      <c r="G15" s="25" t="s">
        <v>56</v>
      </c>
      <c r="I15" s="25" t="s">
        <v>57</v>
      </c>
    </row>
    <row r="16" spans="2:9" ht="15.75" customHeight="1">
      <c r="B16" s="19" t="s">
        <v>71</v>
      </c>
      <c r="C16" s="29" t="s">
        <v>72</v>
      </c>
      <c r="G16" t="s">
        <v>73</v>
      </c>
      <c r="I16" s="19">
        <v>4</v>
      </c>
    </row>
    <row r="17" spans="1:10" ht="15.75" customHeight="1">
      <c r="B17" s="19" t="s">
        <v>74</v>
      </c>
      <c r="C17" s="29" t="s">
        <v>75</v>
      </c>
      <c r="G17" t="s">
        <v>73</v>
      </c>
      <c r="I17" s="19">
        <v>4</v>
      </c>
    </row>
    <row r="18" spans="1:10" ht="15.75" customHeight="1">
      <c r="B18" s="19" t="s">
        <v>76</v>
      </c>
      <c r="C18" s="29" t="s">
        <v>77</v>
      </c>
      <c r="G18" t="s">
        <v>73</v>
      </c>
      <c r="I18" s="19">
        <v>4</v>
      </c>
    </row>
    <row r="19" spans="1:10" ht="15.75" customHeight="1">
      <c r="B19" s="19" t="s">
        <v>78</v>
      </c>
      <c r="C19" s="29" t="s">
        <v>79</v>
      </c>
      <c r="G19" t="s">
        <v>73</v>
      </c>
      <c r="I19" s="19">
        <v>4</v>
      </c>
    </row>
    <row r="20" spans="1:10" ht="15.75" customHeight="1">
      <c r="B20" s="19"/>
      <c r="C20" s="29"/>
      <c r="I20" s="19"/>
    </row>
    <row r="21" spans="1:10" ht="15.75" customHeight="1"/>
    <row r="22" spans="1:10" s="25" customFormat="1" ht="15.75" customHeight="1">
      <c r="B22" s="26" t="s">
        <v>0</v>
      </c>
      <c r="C22" s="26" t="s">
        <v>1</v>
      </c>
      <c r="D22" s="26" t="s">
        <v>2</v>
      </c>
      <c r="E22" s="26" t="s">
        <v>48</v>
      </c>
      <c r="F22" s="26" t="s">
        <v>49</v>
      </c>
      <c r="G22" s="26" t="s">
        <v>5</v>
      </c>
      <c r="H22" s="26" t="s">
        <v>50</v>
      </c>
      <c r="I22" s="26" t="s">
        <v>51</v>
      </c>
    </row>
    <row r="23" spans="1:10" ht="12.75">
      <c r="A23" s="21"/>
      <c r="B23" s="20" t="s">
        <v>19</v>
      </c>
      <c r="C23" s="20" t="s">
        <v>20</v>
      </c>
      <c r="D23" s="20" t="s">
        <v>10</v>
      </c>
      <c r="E23" s="20" t="s">
        <v>21</v>
      </c>
      <c r="F23" s="20" t="s">
        <v>22</v>
      </c>
      <c r="G23" s="20" t="s">
        <v>53</v>
      </c>
      <c r="H23" s="20" t="s">
        <v>13</v>
      </c>
      <c r="I23" s="20" t="s">
        <v>54</v>
      </c>
      <c r="J23" s="21"/>
    </row>
    <row r="24" spans="1:10" s="25" customFormat="1" ht="15.75" customHeight="1">
      <c r="B24" s="26"/>
      <c r="C24" s="26" t="s">
        <v>55</v>
      </c>
      <c r="D24" s="26"/>
      <c r="E24" s="26"/>
      <c r="F24" s="26"/>
      <c r="G24" s="26" t="s">
        <v>56</v>
      </c>
      <c r="H24" s="26"/>
      <c r="I24" s="26" t="s">
        <v>57</v>
      </c>
    </row>
    <row r="25" spans="1:10" ht="15.75" customHeight="1">
      <c r="B25" s="19" t="s">
        <v>80</v>
      </c>
      <c r="C25" s="29" t="s">
        <v>81</v>
      </c>
      <c r="G25" t="s">
        <v>82</v>
      </c>
      <c r="I25" s="19">
        <v>1</v>
      </c>
    </row>
    <row r="26" spans="1:10" ht="15.75" customHeight="1">
      <c r="B26" s="19" t="s">
        <v>83</v>
      </c>
      <c r="C26" s="29" t="s">
        <v>84</v>
      </c>
      <c r="G26" t="s">
        <v>82</v>
      </c>
      <c r="I26" s="19">
        <v>4</v>
      </c>
    </row>
    <row r="27" spans="1:10" ht="15.75" customHeight="1">
      <c r="B27" s="19" t="s">
        <v>85</v>
      </c>
      <c r="C27" s="29" t="s">
        <v>86</v>
      </c>
      <c r="G27" t="s">
        <v>82</v>
      </c>
      <c r="I27" s="19">
        <v>4</v>
      </c>
    </row>
    <row r="28" spans="1:10" ht="15.75" customHeight="1">
      <c r="B28" s="19" t="s">
        <v>87</v>
      </c>
      <c r="C28" s="29" t="s">
        <v>88</v>
      </c>
      <c r="G28" t="s">
        <v>82</v>
      </c>
      <c r="I28" s="19">
        <v>4</v>
      </c>
    </row>
    <row r="29" spans="1:10" ht="15.75" customHeight="1"/>
    <row r="30" spans="1:10" ht="15.75" customHeight="1"/>
    <row r="31" spans="1:10" s="25" customFormat="1" ht="15.75" customHeight="1">
      <c r="B31" s="25" t="s">
        <v>0</v>
      </c>
      <c r="C31" s="25" t="s">
        <v>1</v>
      </c>
      <c r="D31" s="25" t="s">
        <v>2</v>
      </c>
      <c r="E31" s="25" t="s">
        <v>48</v>
      </c>
      <c r="F31" s="25" t="s">
        <v>49</v>
      </c>
      <c r="G31" s="25" t="s">
        <v>5</v>
      </c>
      <c r="H31" s="25" t="s">
        <v>50</v>
      </c>
      <c r="I31" s="25" t="s">
        <v>51</v>
      </c>
    </row>
    <row r="32" spans="1:10" ht="25.5">
      <c r="B32" s="18" t="s">
        <v>23</v>
      </c>
      <c r="C32" s="27" t="s">
        <v>24</v>
      </c>
      <c r="D32" s="18" t="s">
        <v>10</v>
      </c>
      <c r="E32" s="22" t="s">
        <v>25</v>
      </c>
      <c r="F32" s="22" t="s">
        <v>26</v>
      </c>
      <c r="G32" s="18" t="s">
        <v>53</v>
      </c>
      <c r="H32" s="18" t="s">
        <v>13</v>
      </c>
      <c r="I32" s="20" t="s">
        <v>54</v>
      </c>
    </row>
    <row r="33" spans="2:9" s="25" customFormat="1" ht="15.75" customHeight="1">
      <c r="C33" s="25" t="s">
        <v>55</v>
      </c>
      <c r="G33" s="25" t="s">
        <v>56</v>
      </c>
      <c r="I33" s="25" t="s">
        <v>57</v>
      </c>
    </row>
    <row r="34" spans="2:9" ht="15.75" customHeight="1">
      <c r="B34" s="19" t="s">
        <v>89</v>
      </c>
      <c r="C34" s="29" t="s">
        <v>90</v>
      </c>
      <c r="G34" s="2" t="s">
        <v>91</v>
      </c>
      <c r="I34" s="19">
        <v>5</v>
      </c>
    </row>
    <row r="35" spans="2:9" ht="12.75">
      <c r="B35" s="19" t="s">
        <v>92</v>
      </c>
      <c r="C35" s="29" t="s">
        <v>93</v>
      </c>
      <c r="G35" s="2" t="s">
        <v>91</v>
      </c>
      <c r="I35" s="19">
        <v>3</v>
      </c>
    </row>
    <row r="36" spans="2:9" ht="12.75">
      <c r="B36" s="19" t="s">
        <v>94</v>
      </c>
      <c r="C36" s="29" t="s">
        <v>95</v>
      </c>
      <c r="G36" s="2" t="s">
        <v>91</v>
      </c>
      <c r="I36" s="19">
        <v>3</v>
      </c>
    </row>
    <row r="37" spans="2:9" ht="12.75">
      <c r="B37" s="19" t="s">
        <v>96</v>
      </c>
      <c r="C37" s="29" t="s">
        <v>97</v>
      </c>
      <c r="G37" s="2" t="s">
        <v>91</v>
      </c>
      <c r="I37" s="19">
        <v>4</v>
      </c>
    </row>
    <row r="38" spans="2:9" ht="15.75" customHeight="1"/>
    <row r="39" spans="2:9" ht="15.75" customHeight="1"/>
    <row r="40" spans="2:9" ht="15.75" customHeight="1"/>
    <row r="41" spans="2:9" ht="15.75" customHeight="1">
      <c r="B41" s="26" t="s">
        <v>0</v>
      </c>
      <c r="C41" s="26" t="s">
        <v>1</v>
      </c>
      <c r="D41" s="26" t="s">
        <v>2</v>
      </c>
      <c r="E41" s="26" t="s">
        <v>48</v>
      </c>
      <c r="F41" s="26" t="s">
        <v>49</v>
      </c>
      <c r="G41" s="26" t="s">
        <v>5</v>
      </c>
      <c r="H41" s="26" t="s">
        <v>50</v>
      </c>
      <c r="I41" s="26" t="s">
        <v>51</v>
      </c>
    </row>
    <row r="42" spans="2:9" ht="15.75" customHeight="1">
      <c r="B42" s="20" t="s">
        <v>27</v>
      </c>
      <c r="C42" s="20" t="s">
        <v>28</v>
      </c>
      <c r="D42" s="20" t="s">
        <v>29</v>
      </c>
      <c r="E42" s="20" t="s">
        <v>30</v>
      </c>
      <c r="F42" s="20" t="s">
        <v>31</v>
      </c>
      <c r="G42" s="20" t="s">
        <v>98</v>
      </c>
      <c r="H42" s="20" t="s">
        <v>13</v>
      </c>
      <c r="I42" s="20" t="s">
        <v>54</v>
      </c>
    </row>
    <row r="43" spans="2:9" ht="15.75" customHeight="1">
      <c r="B43" s="26"/>
      <c r="C43" s="26" t="s">
        <v>55</v>
      </c>
      <c r="D43" s="26"/>
      <c r="E43" s="26"/>
      <c r="F43" s="26"/>
      <c r="G43" s="26" t="s">
        <v>56</v>
      </c>
      <c r="H43" s="26"/>
      <c r="I43" s="26" t="s">
        <v>57</v>
      </c>
    </row>
    <row r="44" spans="2:9" ht="15.75" customHeight="1">
      <c r="B44" s="19" t="s">
        <v>99</v>
      </c>
      <c r="C44" s="30" t="s">
        <v>100</v>
      </c>
      <c r="G44" t="s">
        <v>82</v>
      </c>
      <c r="I44" s="19">
        <v>1</v>
      </c>
    </row>
    <row r="45" spans="2:9" ht="15.75" customHeight="1">
      <c r="B45" s="19" t="s">
        <v>101</v>
      </c>
      <c r="C45" s="29" t="s">
        <v>102</v>
      </c>
      <c r="G45" t="s">
        <v>82</v>
      </c>
      <c r="I45" s="19">
        <v>4</v>
      </c>
    </row>
    <row r="46" spans="2:9" ht="15.75" customHeight="1">
      <c r="B46" s="19" t="s">
        <v>103</v>
      </c>
      <c r="C46" s="30" t="s">
        <v>104</v>
      </c>
      <c r="G46" t="s">
        <v>82</v>
      </c>
      <c r="I46" s="19">
        <v>4</v>
      </c>
    </row>
    <row r="47" spans="2:9" ht="15.75" customHeight="1">
      <c r="B47" s="19" t="s">
        <v>105</v>
      </c>
      <c r="C47" t="s">
        <v>106</v>
      </c>
      <c r="G47" t="s">
        <v>82</v>
      </c>
      <c r="I47" s="19">
        <v>4</v>
      </c>
    </row>
    <row r="48" spans="2:9" ht="15.75" customHeight="1"/>
    <row r="49" spans="2:9" ht="15.75" customHeight="1"/>
    <row r="50" spans="2:9" ht="15.75" customHeight="1">
      <c r="B50" s="25" t="s">
        <v>0</v>
      </c>
      <c r="C50" s="25" t="s">
        <v>1</v>
      </c>
      <c r="D50" s="25" t="s">
        <v>2</v>
      </c>
      <c r="E50" s="25" t="s">
        <v>48</v>
      </c>
      <c r="F50" s="25" t="s">
        <v>49</v>
      </c>
      <c r="G50" s="25" t="s">
        <v>5</v>
      </c>
      <c r="H50" s="25" t="s">
        <v>50</v>
      </c>
      <c r="I50" s="25" t="s">
        <v>51</v>
      </c>
    </row>
    <row r="51" spans="2:9" ht="15.75" customHeight="1">
      <c r="B51" s="18" t="s">
        <v>32</v>
      </c>
      <c r="C51" s="27" t="s">
        <v>33</v>
      </c>
      <c r="D51" s="18" t="s">
        <v>10</v>
      </c>
      <c r="E51" s="22" t="s">
        <v>34</v>
      </c>
      <c r="F51" s="22" t="s">
        <v>35</v>
      </c>
      <c r="G51" s="18" t="s">
        <v>53</v>
      </c>
      <c r="H51" s="18" t="s">
        <v>13</v>
      </c>
      <c r="I51" s="20" t="s">
        <v>54</v>
      </c>
    </row>
    <row r="52" spans="2:9" ht="15.75" customHeight="1">
      <c r="B52" s="25"/>
      <c r="C52" s="25" t="s">
        <v>55</v>
      </c>
      <c r="D52" s="25"/>
      <c r="E52" s="25"/>
      <c r="F52" s="25"/>
      <c r="G52" s="25" t="s">
        <v>56</v>
      </c>
      <c r="H52" s="25"/>
      <c r="I52" s="25" t="s">
        <v>57</v>
      </c>
    </row>
    <row r="53" spans="2:9" ht="15.75" customHeight="1">
      <c r="B53" s="19" t="s">
        <v>107</v>
      </c>
      <c r="C53" t="s">
        <v>108</v>
      </c>
      <c r="G53" s="2" t="s">
        <v>91</v>
      </c>
      <c r="I53" s="19">
        <v>5</v>
      </c>
    </row>
    <row r="54" spans="2:9" ht="15.75" customHeight="1">
      <c r="B54" s="19" t="s">
        <v>109</v>
      </c>
      <c r="C54" s="29" t="s">
        <v>110</v>
      </c>
      <c r="G54" s="2" t="s">
        <v>91</v>
      </c>
      <c r="I54" s="19">
        <v>3</v>
      </c>
    </row>
    <row r="55" spans="2:9" ht="15.75" customHeight="1">
      <c r="B55" s="19" t="s">
        <v>111</v>
      </c>
      <c r="C55" s="29" t="s">
        <v>112</v>
      </c>
      <c r="G55" s="2" t="s">
        <v>91</v>
      </c>
      <c r="I55" s="19">
        <v>3</v>
      </c>
    </row>
    <row r="56" spans="2:9" ht="15.75" customHeight="1">
      <c r="B56" s="19" t="s">
        <v>113</v>
      </c>
      <c r="C56" t="s">
        <v>114</v>
      </c>
      <c r="G56" s="2" t="s">
        <v>91</v>
      </c>
      <c r="I56" s="19">
        <v>4</v>
      </c>
    </row>
    <row r="57" spans="2:9" ht="15.75" customHeight="1"/>
    <row r="58" spans="2:9" ht="15.75" customHeight="1"/>
    <row r="59" spans="2:9" ht="15.75" customHeight="1"/>
    <row r="60" spans="2:9" ht="15.75" customHeight="1"/>
    <row r="61" spans="2:9" ht="15.75" customHeight="1"/>
    <row r="62" spans="2:9" ht="15.75" customHeight="1"/>
    <row r="63" spans="2:9" ht="15.75" customHeight="1"/>
    <row r="64" spans="2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44"/>
  <sheetViews>
    <sheetView zoomScale="89" zoomScaleNormal="100" workbookViewId="0">
      <selection activeCell="C18" sqref="C18"/>
    </sheetView>
  </sheetViews>
  <sheetFormatPr defaultColWidth="12.5703125" defaultRowHeight="15" customHeight="1"/>
  <cols>
    <col min="1" max="2" width="12.5703125" customWidth="1"/>
    <col min="3" max="3" width="106.7109375" bestFit="1" customWidth="1"/>
    <col min="4" max="4" width="20.42578125" bestFit="1" customWidth="1"/>
    <col min="5" max="5" width="41.28515625" bestFit="1" customWidth="1"/>
    <col min="6" max="6" width="56.140625" customWidth="1"/>
    <col min="7" max="7" width="29" bestFit="1" customWidth="1"/>
  </cols>
  <sheetData>
    <row r="1" spans="1:10" ht="15.75" customHeight="1"/>
    <row r="2" spans="1:10" ht="15.75" customHeight="1">
      <c r="B2" s="1" t="s">
        <v>0</v>
      </c>
      <c r="C2" s="41" t="s">
        <v>1</v>
      </c>
      <c r="D2" s="41" t="s">
        <v>2</v>
      </c>
      <c r="E2" s="41" t="s">
        <v>48</v>
      </c>
      <c r="F2" s="41" t="s">
        <v>49</v>
      </c>
      <c r="G2" s="41" t="s">
        <v>5</v>
      </c>
      <c r="H2" s="1" t="s">
        <v>50</v>
      </c>
      <c r="I2" s="1" t="s">
        <v>51</v>
      </c>
    </row>
    <row r="3" spans="1:10" ht="15.75" customHeight="1">
      <c r="B3" s="3" t="s">
        <v>36</v>
      </c>
      <c r="C3" s="3" t="s">
        <v>37</v>
      </c>
      <c r="D3" s="3" t="s">
        <v>10</v>
      </c>
      <c r="E3" s="38" t="s">
        <v>38</v>
      </c>
      <c r="F3" s="39" t="s">
        <v>39</v>
      </c>
      <c r="G3" s="3" t="s">
        <v>53</v>
      </c>
      <c r="H3" s="3" t="s">
        <v>13</v>
      </c>
      <c r="I3" s="3" t="s">
        <v>115</v>
      </c>
    </row>
    <row r="4" spans="1:10" s="25" customFormat="1" ht="15.75" customHeight="1">
      <c r="B4"/>
      <c r="C4" s="4" t="s">
        <v>55</v>
      </c>
      <c r="D4" s="2"/>
      <c r="E4" s="2"/>
      <c r="F4" s="2"/>
      <c r="G4" s="4" t="s">
        <v>56</v>
      </c>
      <c r="H4" s="2"/>
      <c r="I4" s="4" t="s">
        <v>57</v>
      </c>
    </row>
    <row r="5" spans="1:10" ht="12.75">
      <c r="A5" s="21"/>
      <c r="B5" s="19" t="s">
        <v>116</v>
      </c>
      <c r="C5" t="s">
        <v>117</v>
      </c>
      <c r="G5" t="s">
        <v>82</v>
      </c>
      <c r="J5" s="21"/>
    </row>
    <row r="6" spans="1:10" s="25" customFormat="1" ht="15.75" customHeight="1">
      <c r="B6" s="19" t="s">
        <v>118</v>
      </c>
      <c r="C6" t="s">
        <v>119</v>
      </c>
      <c r="D6"/>
      <c r="E6"/>
      <c r="F6"/>
      <c r="G6" t="s">
        <v>82</v>
      </c>
      <c r="H6"/>
      <c r="I6"/>
    </row>
    <row r="7" spans="1:10" ht="15.75" customHeight="1">
      <c r="B7" s="19" t="s">
        <v>120</v>
      </c>
      <c r="C7" t="s">
        <v>121</v>
      </c>
      <c r="G7" t="s">
        <v>82</v>
      </c>
    </row>
    <row r="8" spans="1:10" ht="15.75" customHeight="1"/>
    <row r="9" spans="1:10" ht="15.75" customHeight="1"/>
    <row r="10" spans="1:10" ht="15.75" customHeight="1"/>
    <row r="11" spans="1:10" ht="15.75" customHeight="1">
      <c r="B11" s="1" t="s">
        <v>0</v>
      </c>
      <c r="C11" s="1" t="s">
        <v>1</v>
      </c>
      <c r="D11" s="1" t="s">
        <v>2</v>
      </c>
      <c r="E11" s="1" t="s">
        <v>48</v>
      </c>
      <c r="F11" s="1" t="s">
        <v>49</v>
      </c>
      <c r="G11" s="1" t="s">
        <v>5</v>
      </c>
      <c r="H11" s="1" t="s">
        <v>50</v>
      </c>
      <c r="I11" s="1" t="s">
        <v>51</v>
      </c>
    </row>
    <row r="12" spans="1:10" ht="15.75" customHeight="1">
      <c r="B12" s="34" t="s">
        <v>40</v>
      </c>
      <c r="C12" s="34" t="s">
        <v>41</v>
      </c>
      <c r="D12" s="34" t="s">
        <v>10</v>
      </c>
      <c r="E12" s="35" t="s">
        <v>42</v>
      </c>
      <c r="F12" s="37" t="s">
        <v>43</v>
      </c>
      <c r="G12" s="34" t="s">
        <v>53</v>
      </c>
      <c r="H12" s="34" t="s">
        <v>13</v>
      </c>
      <c r="I12" s="34" t="s">
        <v>115</v>
      </c>
    </row>
    <row r="13" spans="1:10" s="25" customFormat="1" ht="15.75" customHeight="1">
      <c r="B13"/>
      <c r="C13" s="4" t="s">
        <v>55</v>
      </c>
      <c r="D13" s="2"/>
      <c r="E13" s="2"/>
      <c r="F13" s="2"/>
      <c r="G13" s="4" t="s">
        <v>56</v>
      </c>
      <c r="H13" s="2"/>
      <c r="I13" s="4" t="s">
        <v>57</v>
      </c>
    </row>
    <row r="14" spans="1:10" ht="12.75">
      <c r="B14" s="19" t="s">
        <v>122</v>
      </c>
      <c r="C14" t="s">
        <v>123</v>
      </c>
      <c r="G14" t="s">
        <v>73</v>
      </c>
    </row>
    <row r="15" spans="1:10" s="25" customFormat="1" ht="15.75" customHeight="1">
      <c r="B15" s="19" t="s">
        <v>124</v>
      </c>
      <c r="C15" t="s">
        <v>125</v>
      </c>
      <c r="D15"/>
      <c r="E15"/>
      <c r="F15"/>
      <c r="G15" t="s">
        <v>73</v>
      </c>
      <c r="H15"/>
      <c r="I15"/>
    </row>
    <row r="16" spans="1:10" ht="15.75" customHeight="1">
      <c r="B16" s="19" t="s">
        <v>126</v>
      </c>
      <c r="C16" t="s">
        <v>127</v>
      </c>
      <c r="G16" t="s">
        <v>73</v>
      </c>
    </row>
    <row r="17" spans="2:7" ht="12.75">
      <c r="B17" s="19" t="s">
        <v>128</v>
      </c>
      <c r="C17" t="s">
        <v>129</v>
      </c>
      <c r="G17" t="s">
        <v>73</v>
      </c>
    </row>
    <row r="18" spans="2:7" ht="12.75"/>
    <row r="19" spans="2:7" ht="12.75"/>
    <row r="20" spans="2:7" ht="15.75" customHeight="1"/>
    <row r="21" spans="2:7" ht="15.75" customHeight="1"/>
    <row r="22" spans="2:7" ht="15.75" customHeight="1"/>
    <row r="23" spans="2:7" ht="15.75" customHeight="1"/>
    <row r="24" spans="2:7" ht="15.75" customHeight="1"/>
    <row r="25" spans="2:7" ht="15.75" customHeight="1"/>
    <row r="26" spans="2:7" ht="15.75" customHeight="1"/>
    <row r="27" spans="2:7" ht="15.75" customHeight="1"/>
    <row r="28" spans="2:7" ht="15.75" customHeight="1"/>
    <row r="29" spans="2:7" ht="15.75" customHeight="1"/>
    <row r="30" spans="2:7" ht="15.75" customHeight="1"/>
    <row r="31" spans="2:7" ht="15.75" customHeight="1"/>
    <row r="32" spans="2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phoneticPr fontId="9" type="noConversion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7503-677E-44DE-B38C-64596EC3CE25}">
  <dimension ref="B2:I8"/>
  <sheetViews>
    <sheetView zoomScaleNormal="100" workbookViewId="0">
      <selection activeCell="B5" sqref="B5:B8"/>
    </sheetView>
  </sheetViews>
  <sheetFormatPr defaultColWidth="9.140625" defaultRowHeight="12.75"/>
  <cols>
    <col min="2" max="2" width="9.5703125" bestFit="1" customWidth="1"/>
    <col min="3" max="3" width="38.5703125" customWidth="1"/>
    <col min="4" max="4" width="13.28515625" customWidth="1"/>
    <col min="5" max="5" width="62.85546875" customWidth="1"/>
    <col min="6" max="6" width="46.7109375" customWidth="1"/>
    <col min="7" max="7" width="17.42578125" bestFit="1" customWidth="1"/>
    <col min="9" max="9" width="11.5703125" customWidth="1"/>
    <col min="16384" max="16384" width="9.140625" bestFit="1" customWidth="1"/>
  </cols>
  <sheetData>
    <row r="2" spans="2:9">
      <c r="B2" s="1" t="s">
        <v>0</v>
      </c>
      <c r="C2" s="1" t="s">
        <v>1</v>
      </c>
      <c r="D2" s="1" t="s">
        <v>2</v>
      </c>
      <c r="E2" s="1" t="s">
        <v>48</v>
      </c>
      <c r="F2" s="1" t="s">
        <v>49</v>
      </c>
      <c r="G2" s="1" t="s">
        <v>5</v>
      </c>
      <c r="H2" s="1" t="s">
        <v>50</v>
      </c>
      <c r="I2" s="1" t="s">
        <v>51</v>
      </c>
    </row>
    <row r="3" spans="2:9" ht="25.5">
      <c r="B3" s="34" t="s">
        <v>44</v>
      </c>
      <c r="C3" s="34" t="s">
        <v>45</v>
      </c>
      <c r="D3" s="34" t="s">
        <v>10</v>
      </c>
      <c r="E3" s="35" t="s">
        <v>46</v>
      </c>
      <c r="F3" s="37" t="s">
        <v>47</v>
      </c>
      <c r="G3" s="34" t="s">
        <v>53</v>
      </c>
      <c r="H3" s="34" t="s">
        <v>13</v>
      </c>
      <c r="I3" s="34" t="s">
        <v>115</v>
      </c>
    </row>
    <row r="4" spans="2:9">
      <c r="C4" s="4" t="s">
        <v>55</v>
      </c>
      <c r="D4" s="2"/>
      <c r="E4" s="2"/>
      <c r="F4" s="2"/>
      <c r="G4" s="4" t="s">
        <v>56</v>
      </c>
      <c r="H4" s="2"/>
      <c r="I4" s="4" t="s">
        <v>57</v>
      </c>
    </row>
    <row r="5" spans="2:9">
      <c r="B5" s="19" t="s">
        <v>130</v>
      </c>
      <c r="C5" t="s">
        <v>131</v>
      </c>
      <c r="G5" t="s">
        <v>132</v>
      </c>
      <c r="I5">
        <v>5</v>
      </c>
    </row>
    <row r="6" spans="2:9">
      <c r="B6" s="19" t="s">
        <v>133</v>
      </c>
      <c r="C6" t="s">
        <v>134</v>
      </c>
      <c r="G6" t="s">
        <v>132</v>
      </c>
      <c r="I6">
        <v>4</v>
      </c>
    </row>
    <row r="7" spans="2:9">
      <c r="B7" s="19" t="s">
        <v>135</v>
      </c>
      <c r="C7" t="s">
        <v>136</v>
      </c>
      <c r="G7" t="s">
        <v>132</v>
      </c>
      <c r="I7">
        <v>2</v>
      </c>
    </row>
    <row r="8" spans="2:9">
      <c r="B8" s="19" t="s">
        <v>137</v>
      </c>
      <c r="C8" t="s">
        <v>138</v>
      </c>
      <c r="G8" t="s">
        <v>132</v>
      </c>
      <c r="I8">
        <v>3</v>
      </c>
    </row>
  </sheetData>
  <phoneticPr fontId="15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76"/>
  <sheetViews>
    <sheetView tabSelected="1" topLeftCell="A32" zoomScale="55" zoomScaleNormal="55" workbookViewId="0">
      <selection activeCell="Y79" sqref="Y79"/>
    </sheetView>
  </sheetViews>
  <sheetFormatPr defaultColWidth="12.5703125" defaultRowHeight="15" customHeight="1"/>
  <cols>
    <col min="1" max="1" width="12.5703125" customWidth="1"/>
    <col min="2" max="2" width="24.7109375" customWidth="1"/>
    <col min="3" max="3" width="12.5703125" customWidth="1"/>
    <col min="4" max="4" width="11.140625" customWidth="1"/>
    <col min="5" max="8" width="12.5703125" customWidth="1"/>
  </cols>
  <sheetData>
    <row r="1" spans="1:11" ht="15.75" customHeight="1"/>
    <row r="2" spans="1:11" ht="15.75" customHeight="1"/>
    <row r="3" spans="1:11" ht="15.75" customHeight="1">
      <c r="B3" s="2"/>
      <c r="C3" s="2" t="s">
        <v>57</v>
      </c>
      <c r="D3" s="2" t="s">
        <v>139</v>
      </c>
      <c r="E3" s="2" t="s">
        <v>140</v>
      </c>
      <c r="F3" s="2" t="s">
        <v>141</v>
      </c>
      <c r="G3" s="2" t="s">
        <v>142</v>
      </c>
      <c r="H3" s="2" t="s">
        <v>143</v>
      </c>
      <c r="I3" s="2" t="s">
        <v>144</v>
      </c>
      <c r="J3" s="2" t="s">
        <v>145</v>
      </c>
      <c r="K3" s="2" t="s">
        <v>146</v>
      </c>
    </row>
    <row r="4" spans="1:11" ht="15.75" customHeight="1">
      <c r="B4" t="s">
        <v>58</v>
      </c>
      <c r="C4" s="15">
        <v>10</v>
      </c>
      <c r="D4">
        <v>8</v>
      </c>
      <c r="E4">
        <v>2</v>
      </c>
      <c r="F4">
        <v>1</v>
      </c>
      <c r="G4">
        <v>1</v>
      </c>
      <c r="H4">
        <v>2</v>
      </c>
      <c r="I4">
        <v>2</v>
      </c>
      <c r="J4">
        <v>1</v>
      </c>
      <c r="K4" s="14">
        <f>SUM(D4:J4)</f>
        <v>17</v>
      </c>
    </row>
    <row r="5" spans="1:11" ht="15.75" customHeight="1">
      <c r="B5" s="29" t="s">
        <v>61</v>
      </c>
      <c r="C5" s="15">
        <v>10</v>
      </c>
      <c r="D5">
        <v>4</v>
      </c>
      <c r="E5">
        <v>4</v>
      </c>
      <c r="F5">
        <v>2</v>
      </c>
      <c r="G5">
        <v>2</v>
      </c>
      <c r="H5">
        <v>2</v>
      </c>
      <c r="I5">
        <v>1</v>
      </c>
      <c r="J5">
        <v>1</v>
      </c>
      <c r="K5" s="14">
        <f t="shared" ref="K5:K9" si="0">SUM(D5:J5)</f>
        <v>16</v>
      </c>
    </row>
    <row r="6" spans="1:11" ht="15.75" customHeight="1">
      <c r="A6" s="2"/>
      <c r="B6" t="s">
        <v>63</v>
      </c>
      <c r="C6" s="15">
        <v>10</v>
      </c>
      <c r="D6">
        <v>5</v>
      </c>
      <c r="E6">
        <v>4</v>
      </c>
      <c r="F6">
        <v>2</v>
      </c>
      <c r="G6">
        <v>1</v>
      </c>
      <c r="H6">
        <v>2</v>
      </c>
      <c r="I6">
        <v>1</v>
      </c>
      <c r="J6">
        <v>1</v>
      </c>
      <c r="K6" s="14">
        <f t="shared" si="0"/>
        <v>16</v>
      </c>
    </row>
    <row r="7" spans="1:11" ht="15.75" customHeight="1">
      <c r="A7" s="2"/>
      <c r="B7" t="s">
        <v>65</v>
      </c>
      <c r="C7" s="15">
        <v>10</v>
      </c>
      <c r="D7">
        <v>1</v>
      </c>
      <c r="E7">
        <v>4</v>
      </c>
      <c r="F7">
        <v>2</v>
      </c>
      <c r="G7">
        <v>1</v>
      </c>
      <c r="H7">
        <v>2</v>
      </c>
      <c r="I7">
        <v>1</v>
      </c>
      <c r="J7">
        <v>1</v>
      </c>
      <c r="K7" s="14">
        <f t="shared" si="0"/>
        <v>12</v>
      </c>
    </row>
    <row r="8" spans="1:11" ht="15.75" customHeight="1">
      <c r="B8" t="s">
        <v>67</v>
      </c>
      <c r="C8" s="15">
        <v>5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 s="14">
        <f t="shared" si="0"/>
        <v>7</v>
      </c>
    </row>
    <row r="9" spans="1:11" ht="15.75" customHeight="1">
      <c r="B9" t="s">
        <v>69</v>
      </c>
      <c r="C9" s="15">
        <v>5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 s="14">
        <f t="shared" si="0"/>
        <v>7</v>
      </c>
    </row>
    <row r="10" spans="1:11" ht="15.75" customHeight="1"/>
    <row r="11" spans="1:11" ht="15.75" customHeight="1"/>
    <row r="12" spans="1:11" ht="15.75" customHeight="1"/>
    <row r="13" spans="1:11" ht="15.75" customHeight="1">
      <c r="B13" s="5" t="s">
        <v>147</v>
      </c>
      <c r="C13" s="6">
        <f>SUM(C4:C9)</f>
        <v>50</v>
      </c>
      <c r="D13" s="6">
        <f t="shared" ref="D13:J13" si="1">C13-SUM(D4:D9)</f>
        <v>30</v>
      </c>
      <c r="E13" s="7">
        <f t="shared" si="1"/>
        <v>14</v>
      </c>
      <c r="F13" s="6">
        <f t="shared" si="1"/>
        <v>5</v>
      </c>
      <c r="G13" s="6">
        <f t="shared" si="1"/>
        <v>-2</v>
      </c>
      <c r="H13" s="6">
        <f t="shared" si="1"/>
        <v>-12</v>
      </c>
      <c r="I13" s="6">
        <f t="shared" si="1"/>
        <v>-19</v>
      </c>
      <c r="J13" s="6">
        <f t="shared" si="1"/>
        <v>-25</v>
      </c>
    </row>
    <row r="14" spans="1:11" ht="15.75" customHeight="1">
      <c r="B14" s="5" t="s">
        <v>148</v>
      </c>
      <c r="C14" s="6">
        <f>SUM(C4:C9)</f>
        <v>50</v>
      </c>
      <c r="D14" s="6">
        <f>C14-(SUM(C4:C9)/7)</f>
        <v>42.857142857142854</v>
      </c>
      <c r="E14" s="7">
        <f>D14-(SUM(C4:C9)/7)</f>
        <v>35.714285714285708</v>
      </c>
      <c r="F14" s="6">
        <f>E14-(SUM(C4:C9)/7)</f>
        <v>28.571428571428566</v>
      </c>
      <c r="G14" s="6">
        <f>F14-(SUM(C4:C9)/7)</f>
        <v>21.428571428571423</v>
      </c>
      <c r="H14" s="6">
        <f>G14-(SUM(C4:C9)/7)</f>
        <v>14.285714285714281</v>
      </c>
      <c r="I14" s="6">
        <f>H14-(SUM(C4:C9)/7)</f>
        <v>7.1428571428571379</v>
      </c>
      <c r="J14" s="6">
        <f>I14-(SUM(C4:C9)/7)</f>
        <v>0</v>
      </c>
    </row>
    <row r="15" spans="1:11" ht="15.75" customHeight="1"/>
    <row r="16" spans="1:11" ht="15.75" customHeight="1"/>
    <row r="17" spans="2:5" ht="15.75" customHeight="1"/>
    <row r="18" spans="2:5" ht="15.75" customHeight="1"/>
    <row r="19" spans="2:5" ht="15.75" customHeight="1"/>
    <row r="20" spans="2:5" ht="15.75" customHeight="1"/>
    <row r="21" spans="2:5" ht="15.75" customHeight="1"/>
    <row r="22" spans="2:5" ht="15.75" customHeight="1"/>
    <row r="23" spans="2:5" ht="15.75" customHeight="1">
      <c r="B23" s="40"/>
      <c r="C23" s="40"/>
      <c r="D23" s="40"/>
      <c r="E23" s="40"/>
    </row>
    <row r="24" spans="2:5" ht="15.75" customHeight="1">
      <c r="B24" s="40"/>
      <c r="C24" s="40"/>
      <c r="D24" s="40"/>
      <c r="E24" s="40"/>
    </row>
    <row r="25" spans="2:5" ht="15.75" customHeight="1">
      <c r="B25" s="40"/>
      <c r="C25" s="40"/>
      <c r="D25" s="40"/>
      <c r="E25" s="40"/>
    </row>
    <row r="26" spans="2:5" ht="15.75" customHeight="1">
      <c r="B26" s="40"/>
      <c r="C26" s="40"/>
      <c r="D26" s="40"/>
      <c r="E26" s="40"/>
    </row>
    <row r="27" spans="2:5" ht="15.75" customHeight="1">
      <c r="B27" s="40"/>
      <c r="C27" s="40"/>
      <c r="D27" s="40"/>
      <c r="E27" s="40"/>
    </row>
    <row r="28" spans="2:5" ht="15.75" customHeight="1">
      <c r="B28" s="40"/>
      <c r="C28" s="40"/>
      <c r="D28" s="40"/>
      <c r="E28" s="40"/>
    </row>
    <row r="29" spans="2:5" ht="15.75" customHeight="1">
      <c r="B29" s="40"/>
      <c r="C29" s="40"/>
      <c r="D29" s="40"/>
      <c r="E29" s="40"/>
    </row>
    <row r="30" spans="2:5" ht="15.75" customHeight="1">
      <c r="B30" s="40"/>
      <c r="C30" s="40"/>
      <c r="D30" s="40"/>
      <c r="E30" s="40"/>
    </row>
    <row r="31" spans="2:5" ht="15.75" customHeight="1">
      <c r="B31" s="40"/>
      <c r="C31" s="40"/>
      <c r="D31" s="40"/>
      <c r="E31" s="40"/>
    </row>
    <row r="32" spans="2:5" ht="15.75" customHeight="1"/>
    <row r="33" spans="2:11" ht="15.75" customHeight="1"/>
    <row r="34" spans="2:11" ht="15.75" customHeight="1">
      <c r="B34" s="2"/>
      <c r="C34" s="2" t="s">
        <v>57</v>
      </c>
      <c r="D34" s="2" t="s">
        <v>139</v>
      </c>
      <c r="E34" s="2" t="s">
        <v>140</v>
      </c>
      <c r="F34" s="2" t="s">
        <v>141</v>
      </c>
      <c r="G34" s="2" t="s">
        <v>142</v>
      </c>
      <c r="H34" s="2" t="s">
        <v>143</v>
      </c>
      <c r="I34" s="2" t="s">
        <v>144</v>
      </c>
      <c r="J34" s="2" t="s">
        <v>145</v>
      </c>
      <c r="K34" s="2" t="s">
        <v>146</v>
      </c>
    </row>
    <row r="35" spans="2:11" ht="15.75" customHeight="1">
      <c r="B35" t="s">
        <v>71</v>
      </c>
      <c r="C35" s="15">
        <v>6</v>
      </c>
      <c r="D35">
        <v>2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 s="14">
        <f>SUM(D35:J35)</f>
        <v>8</v>
      </c>
    </row>
    <row r="36" spans="2:11" ht="15.75" customHeight="1">
      <c r="B36" s="29" t="s">
        <v>74</v>
      </c>
      <c r="C36" s="15">
        <v>6</v>
      </c>
      <c r="D36">
        <v>3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 s="14">
        <f t="shared" ref="K36:K38" si="2">SUM(D36:J36)</f>
        <v>8</v>
      </c>
    </row>
    <row r="37" spans="2:11" ht="15.75" customHeight="1">
      <c r="B37" t="s">
        <v>76</v>
      </c>
      <c r="C37" s="15">
        <v>6</v>
      </c>
      <c r="D37">
        <v>2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 s="14">
        <f t="shared" si="2"/>
        <v>7</v>
      </c>
    </row>
    <row r="38" spans="2:11" ht="15.75" customHeight="1">
      <c r="B38" t="s">
        <v>78</v>
      </c>
      <c r="C38" s="15">
        <v>6</v>
      </c>
      <c r="D38">
        <v>1</v>
      </c>
      <c r="E38">
        <v>0</v>
      </c>
      <c r="F38">
        <v>0</v>
      </c>
      <c r="G38">
        <v>1</v>
      </c>
      <c r="H38">
        <v>2</v>
      </c>
      <c r="I38">
        <v>1</v>
      </c>
      <c r="J38">
        <v>1</v>
      </c>
      <c r="K38" s="14">
        <f t="shared" si="2"/>
        <v>6</v>
      </c>
    </row>
    <row r="39" spans="2:11" ht="15.75" customHeight="1"/>
    <row r="40" spans="2:11" ht="15.75" customHeight="1"/>
    <row r="41" spans="2:11" ht="15.75" customHeight="1"/>
    <row r="42" spans="2:11" ht="15.75" customHeight="1"/>
    <row r="43" spans="2:11" ht="15.75" customHeight="1"/>
    <row r="44" spans="2:11" ht="15.75" customHeight="1">
      <c r="B44" s="5" t="s">
        <v>147</v>
      </c>
      <c r="C44" s="6">
        <f>SUM(C35:C40)</f>
        <v>24</v>
      </c>
      <c r="D44" s="6">
        <f t="shared" ref="D44:J44" si="3">C44-SUM(D35:D40)</f>
        <v>16</v>
      </c>
      <c r="E44" s="7">
        <f t="shared" si="3"/>
        <v>13</v>
      </c>
      <c r="F44" s="6">
        <f t="shared" si="3"/>
        <v>10</v>
      </c>
      <c r="G44" s="6">
        <f t="shared" si="3"/>
        <v>7</v>
      </c>
      <c r="H44" s="6">
        <f t="shared" si="3"/>
        <v>2</v>
      </c>
      <c r="I44" s="6">
        <f t="shared" si="3"/>
        <v>-2</v>
      </c>
      <c r="J44" s="6">
        <f t="shared" si="3"/>
        <v>-5</v>
      </c>
    </row>
    <row r="45" spans="2:11" ht="15.75" customHeight="1">
      <c r="B45" s="5" t="s">
        <v>148</v>
      </c>
      <c r="C45" s="6">
        <f>SUM(C35:C40)</f>
        <v>24</v>
      </c>
      <c r="D45" s="6">
        <f>C45-(SUM(C35:C40)/7)</f>
        <v>20.571428571428573</v>
      </c>
      <c r="E45" s="7">
        <f>D45-(SUM(C35:C40)/7)</f>
        <v>17.142857142857146</v>
      </c>
      <c r="F45" s="6">
        <f>E45-(SUM(C35:C40)/7)</f>
        <v>13.714285714285717</v>
      </c>
      <c r="G45" s="6">
        <f>F45-(SUM(C35:C40)/7)</f>
        <v>10.285714285714288</v>
      </c>
      <c r="H45" s="6">
        <f>G45-(SUM(C35:C40)/7)</f>
        <v>6.8571428571428594</v>
      </c>
      <c r="I45" s="6">
        <f>H45-(SUM(C35:C40)/7)</f>
        <v>3.428571428571431</v>
      </c>
      <c r="J45" s="6">
        <f>I45-(SUM(C35:C40)/7)</f>
        <v>0</v>
      </c>
    </row>
    <row r="46" spans="2:11" ht="15.75" customHeight="1"/>
    <row r="47" spans="2:11" ht="15.75" customHeight="1"/>
    <row r="48" spans="2:11" ht="15.75" customHeight="1"/>
    <row r="49" spans="2:11" ht="15.75" customHeight="1"/>
    <row r="50" spans="2:11" ht="15.75" customHeight="1"/>
    <row r="51" spans="2:11" ht="15.75" customHeight="1">
      <c r="B51" s="40"/>
      <c r="C51" s="40"/>
      <c r="D51" s="40"/>
      <c r="E51" s="40"/>
    </row>
    <row r="52" spans="2:11" ht="15.75" customHeight="1">
      <c r="B52" s="40"/>
      <c r="C52" s="40"/>
      <c r="D52" s="40"/>
      <c r="E52" s="40"/>
    </row>
    <row r="53" spans="2:11" ht="15.75" customHeight="1">
      <c r="B53" s="40"/>
      <c r="C53" s="40"/>
      <c r="D53" s="40"/>
      <c r="E53" s="40"/>
    </row>
    <row r="54" spans="2:11" ht="15.75" customHeight="1">
      <c r="B54" s="40"/>
      <c r="C54" s="40"/>
      <c r="D54" s="40"/>
      <c r="E54" s="40"/>
    </row>
    <row r="55" spans="2:11" ht="15.75" customHeight="1">
      <c r="B55" s="40"/>
      <c r="C55" s="40"/>
      <c r="D55" s="40"/>
      <c r="E55" s="40"/>
    </row>
    <row r="56" spans="2:11" ht="15.75" customHeight="1">
      <c r="B56" s="40"/>
      <c r="C56" s="40"/>
      <c r="D56" s="40"/>
      <c r="E56" s="40"/>
    </row>
    <row r="57" spans="2:11" ht="15.75" customHeight="1">
      <c r="B57" s="40"/>
      <c r="C57" s="40"/>
      <c r="D57" s="40"/>
      <c r="E57" s="40"/>
    </row>
    <row r="58" spans="2:11" ht="15.75" customHeight="1"/>
    <row r="59" spans="2:11" ht="15.75" customHeight="1"/>
    <row r="60" spans="2:11" ht="15.75" customHeight="1"/>
    <row r="61" spans="2:11" ht="15.75" customHeight="1"/>
    <row r="62" spans="2:11" ht="15.75" customHeight="1">
      <c r="B62" s="2"/>
      <c r="C62" s="2" t="s">
        <v>57</v>
      </c>
      <c r="D62" s="2" t="s">
        <v>139</v>
      </c>
      <c r="E62" s="2" t="s">
        <v>140</v>
      </c>
      <c r="F62" s="2" t="s">
        <v>141</v>
      </c>
      <c r="G62" s="2" t="s">
        <v>142</v>
      </c>
      <c r="H62" s="2" t="s">
        <v>143</v>
      </c>
      <c r="I62" s="2" t="s">
        <v>144</v>
      </c>
      <c r="J62" s="2" t="s">
        <v>145</v>
      </c>
      <c r="K62" s="2" t="s">
        <v>146</v>
      </c>
    </row>
    <row r="63" spans="2:11" ht="15.75" customHeight="1">
      <c r="B63" t="s">
        <v>80</v>
      </c>
      <c r="C63" s="15">
        <v>6</v>
      </c>
      <c r="D63">
        <v>0</v>
      </c>
      <c r="E63">
        <v>0</v>
      </c>
      <c r="F63">
        <v>0</v>
      </c>
      <c r="G63">
        <v>2</v>
      </c>
      <c r="H63">
        <v>2</v>
      </c>
      <c r="I63">
        <v>2</v>
      </c>
      <c r="J63">
        <v>2</v>
      </c>
      <c r="K63" s="14">
        <f>SUM(D63:J63)</f>
        <v>8</v>
      </c>
    </row>
    <row r="64" spans="2:11" ht="15.75" customHeight="1">
      <c r="B64" s="29" t="s">
        <v>83</v>
      </c>
      <c r="C64" s="15">
        <v>6</v>
      </c>
      <c r="D64">
        <v>0</v>
      </c>
      <c r="E64">
        <v>0</v>
      </c>
      <c r="F64">
        <v>0</v>
      </c>
      <c r="G64">
        <v>2</v>
      </c>
      <c r="H64">
        <v>2</v>
      </c>
      <c r="I64">
        <v>2</v>
      </c>
      <c r="J64">
        <v>2</v>
      </c>
      <c r="K64" s="14">
        <f t="shared" ref="K64:K66" si="4">SUM(D64:J64)</f>
        <v>8</v>
      </c>
    </row>
    <row r="65" spans="2:11" ht="15.75" customHeight="1">
      <c r="B65" t="s">
        <v>85</v>
      </c>
      <c r="C65" s="15">
        <v>6</v>
      </c>
      <c r="D65">
        <v>0</v>
      </c>
      <c r="E65">
        <v>0</v>
      </c>
      <c r="F65">
        <v>0</v>
      </c>
      <c r="G65">
        <v>2</v>
      </c>
      <c r="H65">
        <v>1</v>
      </c>
      <c r="I65">
        <v>1</v>
      </c>
      <c r="J65">
        <v>0</v>
      </c>
      <c r="K65" s="14">
        <f t="shared" si="4"/>
        <v>4</v>
      </c>
    </row>
    <row r="66" spans="2:11" ht="15.75" customHeight="1">
      <c r="B66" t="s">
        <v>87</v>
      </c>
      <c r="C66" s="15">
        <v>6</v>
      </c>
      <c r="D66">
        <v>0</v>
      </c>
      <c r="E66">
        <v>0</v>
      </c>
      <c r="F66">
        <v>0</v>
      </c>
      <c r="G66">
        <v>1</v>
      </c>
      <c r="H66">
        <v>2</v>
      </c>
      <c r="I66">
        <v>1</v>
      </c>
      <c r="J66">
        <v>1</v>
      </c>
      <c r="K66" s="14">
        <f t="shared" si="4"/>
        <v>5</v>
      </c>
    </row>
    <row r="67" spans="2:11" ht="15.75" customHeight="1">
      <c r="B67" t="s">
        <v>89</v>
      </c>
      <c r="C67" s="15">
        <v>6</v>
      </c>
      <c r="D67">
        <v>2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 s="14">
        <f>SUM(D67:J67)</f>
        <v>4</v>
      </c>
    </row>
    <row r="68" spans="2:11" ht="15.75" customHeight="1">
      <c r="B68" t="s">
        <v>92</v>
      </c>
      <c r="C68" s="15">
        <v>6</v>
      </c>
      <c r="D68">
        <v>3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 s="14">
        <f t="shared" ref="K68:K70" si="5">SUM(D68:J68)</f>
        <v>5</v>
      </c>
    </row>
    <row r="69" spans="2:11" ht="15.75" customHeight="1">
      <c r="B69" t="s">
        <v>94</v>
      </c>
      <c r="C69" s="15">
        <v>6</v>
      </c>
      <c r="D69">
        <v>2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 s="14">
        <f t="shared" si="5"/>
        <v>4</v>
      </c>
    </row>
    <row r="70" spans="2:11" ht="15.75" customHeight="1">
      <c r="B70" t="s">
        <v>96</v>
      </c>
      <c r="C70" s="15">
        <v>6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 s="14">
        <f t="shared" si="5"/>
        <v>3</v>
      </c>
    </row>
    <row r="71" spans="2:11" ht="15.75" customHeight="1"/>
    <row r="72" spans="2:11" ht="15.75" customHeight="1">
      <c r="B72" s="5" t="s">
        <v>147</v>
      </c>
      <c r="C72" s="6">
        <f>SUM(C63:C70)</f>
        <v>48</v>
      </c>
      <c r="D72" s="6">
        <f t="shared" ref="D72:J72" si="6">C72-SUM(D63:D70)</f>
        <v>40</v>
      </c>
      <c r="E72" s="7">
        <f t="shared" si="6"/>
        <v>36</v>
      </c>
      <c r="F72" s="6">
        <f t="shared" si="6"/>
        <v>32</v>
      </c>
      <c r="G72" s="6">
        <f t="shared" si="6"/>
        <v>25</v>
      </c>
      <c r="H72" s="6">
        <f t="shared" si="6"/>
        <v>18</v>
      </c>
      <c r="I72" s="6">
        <f t="shared" si="6"/>
        <v>12</v>
      </c>
      <c r="J72" s="6">
        <f t="shared" si="6"/>
        <v>7</v>
      </c>
    </row>
    <row r="73" spans="2:11" ht="15.75" customHeight="1">
      <c r="B73" s="5" t="s">
        <v>148</v>
      </c>
      <c r="C73" s="6">
        <f>SUM(C63:C70)</f>
        <v>48</v>
      </c>
      <c r="D73" s="6">
        <f>C73-(SUM(C63:C70)/7)</f>
        <v>41.142857142857146</v>
      </c>
      <c r="E73" s="7">
        <f>D73-(SUM(C63:C70)/7)</f>
        <v>34.285714285714292</v>
      </c>
      <c r="F73" s="6">
        <f>E73-(SUM(C63:C70)/7)</f>
        <v>27.428571428571434</v>
      </c>
      <c r="G73" s="6">
        <f>F73-(SUM(C63:C70)/7)</f>
        <v>20.571428571428577</v>
      </c>
      <c r="H73" s="6">
        <f>G73-(SUM(C63:C70)/7)</f>
        <v>13.714285714285719</v>
      </c>
      <c r="I73" s="6">
        <f>H73-(SUM(C63:C70)/7)</f>
        <v>6.8571428571428621</v>
      </c>
      <c r="J73" s="6">
        <f>I73-(SUM(C63:C70)/7)</f>
        <v>0</v>
      </c>
    </row>
    <row r="74" spans="2:11" ht="15.75" customHeight="1"/>
    <row r="75" spans="2:11" ht="15.75" customHeight="1"/>
    <row r="76" spans="2:11" ht="15.75" customHeight="1"/>
    <row r="77" spans="2:11" ht="15.75" customHeight="1"/>
    <row r="78" spans="2:11" ht="15.75" customHeight="1"/>
    <row r="79" spans="2:11" ht="15.75" customHeight="1">
      <c r="B79" s="40"/>
      <c r="C79" s="40"/>
      <c r="D79" s="40"/>
      <c r="E79" s="40"/>
    </row>
    <row r="80" spans="2:11" ht="15.75" customHeight="1">
      <c r="B80" s="40"/>
      <c r="C80" s="40"/>
      <c r="D80" s="40"/>
      <c r="E80" s="40"/>
    </row>
    <row r="81" spans="2:11" ht="15.75" customHeight="1">
      <c r="B81" s="40"/>
      <c r="C81" s="40"/>
      <c r="D81" s="40"/>
      <c r="E81" s="40"/>
    </row>
    <row r="82" spans="2:11" ht="15.75" customHeight="1">
      <c r="B82" s="40"/>
      <c r="C82" s="40"/>
      <c r="D82" s="40"/>
      <c r="E82" s="40"/>
    </row>
    <row r="83" spans="2:11" ht="15.75" customHeight="1">
      <c r="B83" s="40"/>
      <c r="C83" s="40"/>
      <c r="D83" s="40"/>
      <c r="E83" s="40"/>
    </row>
    <row r="84" spans="2:11" ht="15.75" customHeight="1">
      <c r="B84" s="40"/>
      <c r="C84" s="40"/>
      <c r="D84" s="40"/>
      <c r="E84" s="40"/>
    </row>
    <row r="85" spans="2:11" ht="15.75" customHeight="1">
      <c r="B85" s="40"/>
      <c r="C85" s="40"/>
      <c r="D85" s="40"/>
      <c r="E85" s="40"/>
    </row>
    <row r="86" spans="2:11" ht="15.75" customHeight="1"/>
    <row r="87" spans="2:11" ht="15.75" customHeight="1"/>
    <row r="88" spans="2:11" ht="15.75" customHeight="1"/>
    <row r="89" spans="2:11" ht="15.75" customHeight="1">
      <c r="B89" s="2"/>
      <c r="C89" s="2" t="s">
        <v>57</v>
      </c>
      <c r="D89" s="2" t="s">
        <v>139</v>
      </c>
      <c r="E89" s="2" t="s">
        <v>140</v>
      </c>
      <c r="F89" s="2" t="s">
        <v>141</v>
      </c>
      <c r="G89" s="2" t="s">
        <v>142</v>
      </c>
      <c r="H89" s="2" t="s">
        <v>143</v>
      </c>
      <c r="I89" s="2" t="s">
        <v>144</v>
      </c>
      <c r="J89" s="2" t="s">
        <v>145</v>
      </c>
      <c r="K89" s="2" t="s">
        <v>146</v>
      </c>
    </row>
    <row r="90" spans="2:11" ht="15.75" customHeight="1">
      <c r="B90" t="s">
        <v>99</v>
      </c>
      <c r="C90" s="15">
        <v>8</v>
      </c>
      <c r="D90">
        <v>0</v>
      </c>
      <c r="E90">
        <v>0</v>
      </c>
      <c r="F90">
        <v>0</v>
      </c>
      <c r="G90">
        <v>3</v>
      </c>
      <c r="H90">
        <v>3</v>
      </c>
      <c r="I90">
        <v>1</v>
      </c>
      <c r="J90">
        <v>2</v>
      </c>
      <c r="K90" s="14">
        <f>SUM(D90:J90)</f>
        <v>9</v>
      </c>
    </row>
    <row r="91" spans="2:11" ht="15.75" customHeight="1">
      <c r="B91" s="29" t="s">
        <v>101</v>
      </c>
      <c r="C91" s="15">
        <v>8</v>
      </c>
      <c r="D91">
        <v>0</v>
      </c>
      <c r="E91">
        <v>0</v>
      </c>
      <c r="F91">
        <v>0</v>
      </c>
      <c r="G91">
        <v>2</v>
      </c>
      <c r="H91">
        <v>2</v>
      </c>
      <c r="I91">
        <v>2</v>
      </c>
      <c r="J91">
        <v>2</v>
      </c>
      <c r="K91" s="14">
        <f t="shared" ref="K91:K93" si="7">SUM(D91:J91)</f>
        <v>8</v>
      </c>
    </row>
    <row r="92" spans="2:11" ht="15.75" customHeight="1">
      <c r="B92" t="s">
        <v>103</v>
      </c>
      <c r="C92" s="15">
        <v>8</v>
      </c>
      <c r="D92">
        <v>0</v>
      </c>
      <c r="E92">
        <v>0</v>
      </c>
      <c r="F92">
        <v>0</v>
      </c>
      <c r="G92">
        <v>4</v>
      </c>
      <c r="H92">
        <v>1</v>
      </c>
      <c r="I92">
        <v>1</v>
      </c>
      <c r="J92">
        <v>3</v>
      </c>
      <c r="K92" s="14">
        <f t="shared" si="7"/>
        <v>9</v>
      </c>
    </row>
    <row r="93" spans="2:11" ht="15.75" customHeight="1">
      <c r="B93" t="s">
        <v>105</v>
      </c>
      <c r="C93" s="15">
        <v>8</v>
      </c>
      <c r="D93">
        <v>0</v>
      </c>
      <c r="E93">
        <v>0</v>
      </c>
      <c r="F93">
        <v>0</v>
      </c>
      <c r="G93">
        <v>2</v>
      </c>
      <c r="H93">
        <v>2</v>
      </c>
      <c r="I93">
        <v>2</v>
      </c>
      <c r="J93">
        <v>2</v>
      </c>
      <c r="K93" s="14">
        <f t="shared" si="7"/>
        <v>8</v>
      </c>
    </row>
    <row r="94" spans="2:11" ht="15.75" customHeight="1">
      <c r="B94" t="s">
        <v>107</v>
      </c>
      <c r="C94" s="15">
        <v>5</v>
      </c>
      <c r="D94">
        <v>2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 s="14">
        <f>SUM(D94:J94)</f>
        <v>4</v>
      </c>
    </row>
    <row r="95" spans="2:11" ht="15.75" customHeight="1">
      <c r="B95" t="s">
        <v>109</v>
      </c>
      <c r="C95" s="15">
        <v>5</v>
      </c>
      <c r="D95">
        <v>2</v>
      </c>
      <c r="E95">
        <v>2</v>
      </c>
      <c r="F95">
        <v>2</v>
      </c>
      <c r="G95">
        <v>0</v>
      </c>
      <c r="H95">
        <v>0</v>
      </c>
      <c r="I95">
        <v>0</v>
      </c>
      <c r="J95">
        <v>0</v>
      </c>
      <c r="K95" s="14">
        <f t="shared" ref="K95:K97" si="8">SUM(D95:J95)</f>
        <v>6</v>
      </c>
    </row>
    <row r="96" spans="2:11" ht="15.75" customHeight="1">
      <c r="B96" t="s">
        <v>111</v>
      </c>
      <c r="C96" s="15">
        <v>5</v>
      </c>
      <c r="D96">
        <v>2</v>
      </c>
      <c r="E96">
        <v>2</v>
      </c>
      <c r="F96">
        <v>2</v>
      </c>
      <c r="G96">
        <v>0</v>
      </c>
      <c r="H96">
        <v>0</v>
      </c>
      <c r="I96">
        <v>0</v>
      </c>
      <c r="J96">
        <v>0</v>
      </c>
      <c r="K96" s="14">
        <f t="shared" si="8"/>
        <v>6</v>
      </c>
    </row>
    <row r="97" spans="2:11" ht="15.75" customHeight="1">
      <c r="B97" t="s">
        <v>113</v>
      </c>
      <c r="C97" s="15">
        <v>5</v>
      </c>
      <c r="D97">
        <v>2</v>
      </c>
      <c r="E97">
        <v>2</v>
      </c>
      <c r="F97">
        <v>2</v>
      </c>
      <c r="G97">
        <v>0</v>
      </c>
      <c r="H97">
        <v>0</v>
      </c>
      <c r="I97">
        <v>0</v>
      </c>
      <c r="J97">
        <v>0</v>
      </c>
      <c r="K97" s="14">
        <f t="shared" si="8"/>
        <v>6</v>
      </c>
    </row>
    <row r="98" spans="2:11" ht="15.75" customHeight="1"/>
    <row r="99" spans="2:11" ht="15.75" customHeight="1">
      <c r="B99" s="5" t="s">
        <v>147</v>
      </c>
      <c r="C99" s="6">
        <f>SUM(C90:C97)</f>
        <v>52</v>
      </c>
      <c r="D99" s="6">
        <f t="shared" ref="D99:J99" si="9">C99-SUM(D90:D97)</f>
        <v>44</v>
      </c>
      <c r="E99" s="7">
        <f t="shared" si="9"/>
        <v>37</v>
      </c>
      <c r="F99" s="6">
        <f t="shared" si="9"/>
        <v>30</v>
      </c>
      <c r="G99" s="6">
        <f t="shared" si="9"/>
        <v>19</v>
      </c>
      <c r="H99" s="6">
        <f t="shared" si="9"/>
        <v>11</v>
      </c>
      <c r="I99" s="6">
        <f t="shared" si="9"/>
        <v>5</v>
      </c>
      <c r="J99" s="6">
        <f t="shared" si="9"/>
        <v>-4</v>
      </c>
    </row>
    <row r="100" spans="2:11" ht="15.75" customHeight="1">
      <c r="B100" s="5" t="s">
        <v>148</v>
      </c>
      <c r="C100" s="6">
        <f>SUM(C90:C97)</f>
        <v>52</v>
      </c>
      <c r="D100" s="6">
        <f>C100-(SUM(C90:C97)/7)</f>
        <v>44.571428571428569</v>
      </c>
      <c r="E100" s="7">
        <f>D100-(SUM(C90:C97)/7)</f>
        <v>37.142857142857139</v>
      </c>
      <c r="F100" s="6">
        <f>E100-(SUM(C90:C97)/7)</f>
        <v>29.714285714285708</v>
      </c>
      <c r="G100" s="6">
        <f>F100-(SUM(C90:C97)/7)</f>
        <v>22.285714285714278</v>
      </c>
      <c r="H100" s="6">
        <f>G100-(SUM(C90:C97)/7)</f>
        <v>14.857142857142849</v>
      </c>
      <c r="I100" s="6">
        <f>H100-(SUM(C90:C97)/7)</f>
        <v>7.4285714285714199</v>
      </c>
      <c r="J100" s="6">
        <f>I100-(SUM(C90:C97)/7)</f>
        <v>-8.8817841970012523E-15</v>
      </c>
    </row>
    <row r="101" spans="2:11" ht="15.75" customHeight="1"/>
    <row r="102" spans="2:11" ht="15.75" customHeight="1"/>
    <row r="103" spans="2:11" ht="15.75" customHeight="1"/>
    <row r="104" spans="2:11" ht="15.75" customHeight="1"/>
    <row r="105" spans="2:11" ht="15.75" customHeight="1"/>
    <row r="106" spans="2:11" ht="15.75" customHeight="1">
      <c r="B106" s="40"/>
      <c r="C106" s="40"/>
      <c r="D106" s="40"/>
      <c r="E106" s="40"/>
    </row>
    <row r="107" spans="2:11" ht="15.75" customHeight="1">
      <c r="B107" s="40"/>
      <c r="C107" s="40"/>
      <c r="D107" s="40"/>
      <c r="E107" s="40"/>
    </row>
    <row r="108" spans="2:11" ht="15.75" customHeight="1">
      <c r="B108" s="40"/>
      <c r="C108" s="40"/>
      <c r="D108" s="40"/>
      <c r="E108" s="40"/>
    </row>
    <row r="109" spans="2:11" ht="15.75" customHeight="1">
      <c r="B109" s="40"/>
      <c r="C109" s="40"/>
      <c r="D109" s="40"/>
      <c r="E109" s="40"/>
    </row>
    <row r="110" spans="2:11" ht="15.75" customHeight="1">
      <c r="B110" s="40"/>
      <c r="C110" s="40"/>
      <c r="D110" s="40"/>
      <c r="E110" s="40"/>
    </row>
    <row r="111" spans="2:11" ht="15.75" customHeight="1">
      <c r="B111" s="40"/>
      <c r="C111" s="40"/>
      <c r="D111" s="40"/>
      <c r="E111" s="40"/>
    </row>
    <row r="112" spans="2:11" ht="15.75" customHeight="1">
      <c r="B112" s="40"/>
      <c r="C112" s="40"/>
      <c r="D112" s="40"/>
      <c r="E112" s="40"/>
    </row>
    <row r="113" spans="2:11" ht="15.75" customHeight="1"/>
    <row r="114" spans="2:11" ht="15.75" customHeight="1"/>
    <row r="115" spans="2:11" ht="15.75" customHeight="1"/>
    <row r="116" spans="2:11" ht="15.75" customHeight="1"/>
    <row r="117" spans="2:11" ht="15.75" customHeight="1"/>
    <row r="118" spans="2:11" ht="15.75" customHeight="1">
      <c r="C118" s="2" t="s">
        <v>57</v>
      </c>
      <c r="D118" s="2" t="s">
        <v>139</v>
      </c>
      <c r="E118" s="2" t="s">
        <v>140</v>
      </c>
      <c r="F118" s="2" t="s">
        <v>141</v>
      </c>
      <c r="G118" s="2" t="s">
        <v>142</v>
      </c>
      <c r="H118" s="2" t="s">
        <v>143</v>
      </c>
      <c r="I118" s="2" t="s">
        <v>144</v>
      </c>
      <c r="J118" s="2" t="s">
        <v>145</v>
      </c>
      <c r="K118" s="2" t="s">
        <v>146</v>
      </c>
    </row>
    <row r="119" spans="2:11" ht="15.75" customHeight="1">
      <c r="B119" s="29" t="s">
        <v>116</v>
      </c>
      <c r="C119" s="15">
        <v>8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1</v>
      </c>
      <c r="J119">
        <v>4</v>
      </c>
      <c r="K119" s="14">
        <f>SUM(D119:J119)</f>
        <v>6</v>
      </c>
    </row>
    <row r="120" spans="2:11" ht="15.75" customHeight="1">
      <c r="B120" t="s">
        <v>118</v>
      </c>
      <c r="C120" s="15">
        <v>8</v>
      </c>
      <c r="D120">
        <v>0</v>
      </c>
      <c r="E120">
        <v>0</v>
      </c>
      <c r="F120">
        <v>0</v>
      </c>
      <c r="G120">
        <v>0</v>
      </c>
      <c r="H120">
        <v>2</v>
      </c>
      <c r="I120">
        <v>4</v>
      </c>
      <c r="J120">
        <v>2</v>
      </c>
      <c r="K120" s="14">
        <f t="shared" ref="K120:K122" si="10">SUM(D120:J120)</f>
        <v>8</v>
      </c>
    </row>
    <row r="121" spans="2:11" ht="15.75" customHeight="1">
      <c r="B121" t="s">
        <v>120</v>
      </c>
      <c r="C121" s="15">
        <v>8</v>
      </c>
      <c r="D121">
        <v>0</v>
      </c>
      <c r="E121">
        <v>0</v>
      </c>
      <c r="F121">
        <v>0</v>
      </c>
      <c r="G121">
        <v>0</v>
      </c>
      <c r="H121">
        <v>4</v>
      </c>
      <c r="I121">
        <v>1</v>
      </c>
      <c r="J121">
        <v>3</v>
      </c>
      <c r="K121" s="14">
        <f t="shared" si="10"/>
        <v>8</v>
      </c>
    </row>
    <row r="122" spans="2:11" ht="15.75" customHeight="1">
      <c r="B122" t="s">
        <v>122</v>
      </c>
      <c r="C122" s="15">
        <v>8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 s="14">
        <f t="shared" si="10"/>
        <v>14</v>
      </c>
    </row>
    <row r="123" spans="2:11" ht="15.75" customHeight="1">
      <c r="B123" t="s">
        <v>124</v>
      </c>
      <c r="C123" s="15">
        <v>8</v>
      </c>
      <c r="D123">
        <v>2</v>
      </c>
      <c r="E123">
        <v>1</v>
      </c>
      <c r="F123">
        <v>1</v>
      </c>
      <c r="G123">
        <v>2</v>
      </c>
      <c r="H123">
        <v>0</v>
      </c>
      <c r="I123">
        <v>0</v>
      </c>
      <c r="J123">
        <v>0</v>
      </c>
      <c r="K123" s="14">
        <f>SUM(D123:J123)</f>
        <v>6</v>
      </c>
    </row>
    <row r="124" spans="2:11" ht="15.75" customHeight="1">
      <c r="B124" t="s">
        <v>126</v>
      </c>
      <c r="C124" s="15">
        <v>8</v>
      </c>
      <c r="D124">
        <v>2</v>
      </c>
      <c r="E124">
        <v>2</v>
      </c>
      <c r="F124">
        <v>2</v>
      </c>
      <c r="G124">
        <v>2</v>
      </c>
      <c r="H124">
        <v>0</v>
      </c>
      <c r="I124">
        <v>0</v>
      </c>
      <c r="J124">
        <v>0</v>
      </c>
      <c r="K124" s="14">
        <f t="shared" ref="K124:K125" si="11">SUM(D124:J124)</f>
        <v>8</v>
      </c>
    </row>
    <row r="125" spans="2:11" ht="15.75" customHeight="1">
      <c r="B125" t="s">
        <v>128</v>
      </c>
      <c r="C125" s="15">
        <v>8</v>
      </c>
      <c r="D125">
        <v>2</v>
      </c>
      <c r="E125">
        <v>2</v>
      </c>
      <c r="F125">
        <v>2</v>
      </c>
      <c r="G125">
        <v>2</v>
      </c>
      <c r="H125">
        <v>0</v>
      </c>
      <c r="I125">
        <v>0</v>
      </c>
      <c r="J125">
        <v>0</v>
      </c>
      <c r="K125" s="14">
        <f t="shared" si="11"/>
        <v>8</v>
      </c>
    </row>
    <row r="126" spans="2:11" ht="15.75" customHeight="1"/>
    <row r="127" spans="2:11" ht="15.75" customHeight="1"/>
    <row r="128" spans="2:11" ht="15.75" customHeight="1">
      <c r="B128" s="5" t="s">
        <v>147</v>
      </c>
      <c r="C128" s="6">
        <f>SUM(C119:C126)</f>
        <v>56</v>
      </c>
      <c r="D128" s="6">
        <f t="shared" ref="D128:J128" si="12">C128-SUM(D119:D126)</f>
        <v>48</v>
      </c>
      <c r="E128" s="7">
        <f t="shared" si="12"/>
        <v>41</v>
      </c>
      <c r="F128" s="6">
        <f t="shared" si="12"/>
        <v>34</v>
      </c>
      <c r="G128" s="6">
        <f t="shared" si="12"/>
        <v>26</v>
      </c>
      <c r="H128" s="6">
        <f t="shared" si="12"/>
        <v>17</v>
      </c>
      <c r="I128" s="6">
        <f t="shared" si="12"/>
        <v>9</v>
      </c>
      <c r="J128" s="6">
        <f t="shared" si="12"/>
        <v>-2</v>
      </c>
    </row>
    <row r="129" spans="2:10" ht="15.75" customHeight="1">
      <c r="B129" s="5" t="s">
        <v>148</v>
      </c>
      <c r="C129" s="6">
        <f>SUM(C119:C126)</f>
        <v>56</v>
      </c>
      <c r="D129" s="6">
        <f>C129-(SUM(C119:C126)/7)</f>
        <v>48</v>
      </c>
      <c r="E129" s="7">
        <f>D129-(SUM(C119:C126)/7)</f>
        <v>40</v>
      </c>
      <c r="F129" s="6">
        <f>E129-(SUM(C119:C126)/7)</f>
        <v>32</v>
      </c>
      <c r="G129" s="6">
        <f>F129-(SUM(C119:C126)/7)</f>
        <v>24</v>
      </c>
      <c r="H129" s="6">
        <f>G129-(SUM(C119:C126)/7)</f>
        <v>16</v>
      </c>
      <c r="I129" s="6">
        <f>H129-(SUM(C119:C126)/7)</f>
        <v>8</v>
      </c>
      <c r="J129" s="6">
        <f>I129-(SUM(C119:C126)/7)</f>
        <v>0</v>
      </c>
    </row>
    <row r="130" spans="2:10" ht="15.75" customHeight="1"/>
    <row r="131" spans="2:10" ht="15.75" customHeight="1"/>
    <row r="132" spans="2:10" ht="15.75" customHeight="1"/>
    <row r="133" spans="2:10" ht="15.75" customHeight="1"/>
    <row r="134" spans="2:10" ht="15.75" customHeight="1"/>
    <row r="135" spans="2:10" ht="15.75" customHeight="1">
      <c r="B135" s="40"/>
      <c r="C135" s="40"/>
      <c r="D135" s="40"/>
      <c r="E135" s="40"/>
    </row>
    <row r="136" spans="2:10" ht="15.75" customHeight="1">
      <c r="B136" s="40"/>
      <c r="C136" s="40"/>
      <c r="D136" s="40"/>
      <c r="E136" s="40"/>
    </row>
    <row r="137" spans="2:10" ht="15.75" customHeight="1">
      <c r="B137" s="40"/>
      <c r="C137" s="40"/>
      <c r="D137" s="40"/>
      <c r="E137" s="40"/>
    </row>
    <row r="138" spans="2:10" ht="15.75" customHeight="1">
      <c r="B138" s="40"/>
      <c r="C138" s="40"/>
      <c r="D138" s="40"/>
      <c r="E138" s="40"/>
    </row>
    <row r="139" spans="2:10" ht="15.75" customHeight="1">
      <c r="B139" s="40"/>
      <c r="C139" s="40"/>
      <c r="D139" s="40"/>
      <c r="E139" s="40"/>
    </row>
    <row r="140" spans="2:10" ht="15.75" customHeight="1">
      <c r="B140" s="40"/>
      <c r="C140" s="40"/>
      <c r="D140" s="40"/>
      <c r="E140" s="40"/>
    </row>
    <row r="141" spans="2:10" ht="15.75" customHeight="1">
      <c r="B141" s="40"/>
      <c r="C141" s="40"/>
      <c r="D141" s="40"/>
      <c r="E141" s="40"/>
    </row>
    <row r="142" spans="2:10" ht="15.75" customHeight="1"/>
    <row r="143" spans="2:10" ht="15.75" customHeight="1"/>
    <row r="144" spans="2:10" ht="15.75" customHeight="1"/>
    <row r="145" spans="2:11" ht="15.75" customHeight="1">
      <c r="C145" s="2" t="s">
        <v>57</v>
      </c>
      <c r="D145" s="2" t="s">
        <v>139</v>
      </c>
      <c r="E145" s="2" t="s">
        <v>140</v>
      </c>
      <c r="F145" s="2" t="s">
        <v>141</v>
      </c>
      <c r="G145" s="2" t="s">
        <v>142</v>
      </c>
      <c r="H145" s="2" t="s">
        <v>143</v>
      </c>
      <c r="I145" s="2" t="s">
        <v>144</v>
      </c>
      <c r="J145" s="2" t="s">
        <v>145</v>
      </c>
      <c r="K145" s="2" t="s">
        <v>146</v>
      </c>
    </row>
    <row r="146" spans="2:11" ht="15.75" customHeight="1">
      <c r="B146" s="29" t="s">
        <v>130</v>
      </c>
      <c r="C146" s="15">
        <v>8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4</v>
      </c>
      <c r="K146" s="14">
        <f>SUM(D146:J146)</f>
        <v>10</v>
      </c>
    </row>
    <row r="147" spans="2:11" ht="15.75" customHeight="1">
      <c r="B147" t="s">
        <v>133</v>
      </c>
      <c r="C147" s="15">
        <v>8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4</v>
      </c>
      <c r="K147" s="14">
        <f t="shared" ref="K147:K149" si="13">SUM(D147:J147)</f>
        <v>10</v>
      </c>
    </row>
    <row r="148" spans="2:11" ht="15.75" customHeight="1">
      <c r="B148" t="s">
        <v>135</v>
      </c>
      <c r="C148" s="15">
        <v>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4</v>
      </c>
      <c r="K148" s="14">
        <f t="shared" si="13"/>
        <v>10</v>
      </c>
    </row>
    <row r="149" spans="2:11" ht="15.75" customHeight="1">
      <c r="B149" t="s">
        <v>137</v>
      </c>
      <c r="C149" s="15">
        <v>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4</v>
      </c>
      <c r="K149" s="14">
        <f t="shared" si="13"/>
        <v>10</v>
      </c>
    </row>
    <row r="150" spans="2:11" ht="15.75" customHeight="1"/>
    <row r="151" spans="2:11" ht="15.75" customHeight="1"/>
    <row r="152" spans="2:11" ht="15.75" customHeight="1"/>
    <row r="153" spans="2:11" ht="15.75" customHeight="1"/>
    <row r="154" spans="2:11" ht="15.75" customHeight="1"/>
    <row r="155" spans="2:11" ht="15.75" customHeight="1">
      <c r="B155" s="5" t="s">
        <v>147</v>
      </c>
      <c r="C155" s="6">
        <f>SUM(C146:C153)</f>
        <v>32</v>
      </c>
      <c r="D155" s="6">
        <f t="shared" ref="D155:J155" si="14">C155-SUM(D146:D153)</f>
        <v>28</v>
      </c>
      <c r="E155" s="7">
        <f t="shared" si="14"/>
        <v>24</v>
      </c>
      <c r="F155" s="6">
        <f t="shared" si="14"/>
        <v>20</v>
      </c>
      <c r="G155" s="6">
        <f t="shared" si="14"/>
        <v>16</v>
      </c>
      <c r="H155" s="6">
        <f t="shared" si="14"/>
        <v>12</v>
      </c>
      <c r="I155" s="6">
        <f t="shared" si="14"/>
        <v>8</v>
      </c>
      <c r="J155" s="6">
        <f t="shared" si="14"/>
        <v>-8</v>
      </c>
    </row>
    <row r="156" spans="2:11" ht="15.75" customHeight="1">
      <c r="B156" s="5" t="s">
        <v>148</v>
      </c>
      <c r="C156" s="6">
        <f>SUM(C146:C153)</f>
        <v>32</v>
      </c>
      <c r="D156" s="6">
        <f>C156-(SUM(C146:C153)/7)</f>
        <v>27.428571428571431</v>
      </c>
      <c r="E156" s="7">
        <f>D156-(SUM(C146:C153)/7)</f>
        <v>22.857142857142861</v>
      </c>
      <c r="F156" s="6">
        <f>E156-(SUM(C146:C153)/7)</f>
        <v>18.285714285714292</v>
      </c>
      <c r="G156" s="6">
        <f>F156-(SUM(C146:C153)/7)</f>
        <v>13.714285714285721</v>
      </c>
      <c r="H156" s="6">
        <f>G156-(SUM(C146:C153)/7)</f>
        <v>9.1428571428571495</v>
      </c>
      <c r="I156" s="6">
        <f>H156-(SUM(C146:C153)/7)</f>
        <v>4.5714285714285783</v>
      </c>
      <c r="J156" s="6">
        <f>I156-(SUM(C146:C153)/7)</f>
        <v>7.1054273576010019E-15</v>
      </c>
    </row>
    <row r="157" spans="2:11" ht="15.75" customHeight="1"/>
    <row r="158" spans="2:11" ht="15.75" customHeight="1"/>
    <row r="159" spans="2:11" ht="15.75" customHeight="1"/>
    <row r="160" spans="2:11" ht="15.75" customHeight="1"/>
    <row r="161" spans="2:5" ht="15.75" customHeight="1"/>
    <row r="162" spans="2:5" ht="15.75" customHeight="1">
      <c r="B162" s="40"/>
      <c r="C162" s="40"/>
      <c r="D162" s="40"/>
      <c r="E162" s="40"/>
    </row>
    <row r="163" spans="2:5" ht="15.75" customHeight="1">
      <c r="B163" s="40"/>
      <c r="C163" s="40"/>
      <c r="D163" s="40"/>
      <c r="E163" s="40"/>
    </row>
    <row r="164" spans="2:5" ht="15.75" customHeight="1">
      <c r="B164" s="40"/>
      <c r="C164" s="40"/>
      <c r="D164" s="40"/>
      <c r="E164" s="40"/>
    </row>
    <row r="165" spans="2:5" ht="15.75" customHeight="1">
      <c r="B165" s="40"/>
      <c r="C165" s="40"/>
      <c r="D165" s="40"/>
      <c r="E165" s="40"/>
    </row>
    <row r="166" spans="2:5" ht="15.75" customHeight="1">
      <c r="B166" s="40"/>
      <c r="C166" s="40"/>
      <c r="D166" s="40"/>
      <c r="E166" s="40"/>
    </row>
    <row r="167" spans="2:5" ht="15.75" customHeight="1">
      <c r="B167" s="40"/>
      <c r="C167" s="40"/>
      <c r="D167" s="40"/>
      <c r="E167" s="40"/>
    </row>
    <row r="168" spans="2:5" ht="15.75" customHeight="1">
      <c r="B168" s="40"/>
      <c r="C168" s="40"/>
      <c r="D168" s="40"/>
      <c r="E168" s="40"/>
    </row>
    <row r="169" spans="2:5" ht="15.75" customHeight="1"/>
    <row r="170" spans="2:5" ht="15.75" customHeight="1"/>
    <row r="171" spans="2:5" ht="15.75" customHeight="1"/>
    <row r="172" spans="2:5" ht="15.75" customHeight="1"/>
    <row r="173" spans="2:5" ht="15.75" customHeight="1"/>
    <row r="174" spans="2:5" ht="15.75" customHeight="1"/>
    <row r="175" spans="2:5" ht="15.75" customHeight="1"/>
    <row r="176" spans="2:5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/>
  <cp:revision/>
  <dcterms:created xsi:type="dcterms:W3CDTF">2023-01-13T00:08:30Z</dcterms:created>
  <dcterms:modified xsi:type="dcterms:W3CDTF">2026-07-20T02:28:22Z</dcterms:modified>
  <cp:category/>
  <cp:contentStatus/>
</cp:coreProperties>
</file>